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 &amp; Costing" sheetId="1" state="visible" r:id="rId1"/>
    <sheet xmlns:r="http://schemas.openxmlformats.org/officeDocument/2006/relationships" name="Bill of Materials (BoM)" sheetId="2" state="visible" r:id="rId2"/>
    <sheet xmlns:r="http://schemas.openxmlformats.org/officeDocument/2006/relationships" name="Labor Breakdown (WB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92400E"/>
      <sz val="9"/>
    </font>
  </fonts>
  <fills count="10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E7D32"/>
        <bgColor rgb="002E7D32"/>
      </patternFill>
    </fill>
    <fill>
      <patternFill patternType="solid">
        <fgColor rgb="002D3748"/>
        <bgColor rgb="002D3748"/>
      </patternFill>
    </fill>
    <fill>
      <patternFill patternType="solid">
        <fgColor rgb="00FEF3C7"/>
        <bgColor rgb="00FEF3C7"/>
      </patternFill>
    </fill>
    <fill>
      <patternFill patternType="solid">
        <fgColor rgb="000D5C75"/>
        <bgColor rgb="000D5C75"/>
      </patternFill>
    </fill>
    <fill>
      <patternFill patternType="solid">
        <fgColor rgb="00DCFCE7"/>
        <bgColor rgb="00DCFCE7"/>
      </patternFill>
    </fill>
    <fill>
      <patternFill patternType="solid">
        <fgColor rgb="00F4FBF7"/>
        <bgColor rgb="00F4FBF7"/>
      </patternFill>
    </fill>
    <fill>
      <patternFill patternType="solid">
        <fgColor rgb="00D97706"/>
        <bgColor rgb="00D97706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164" fontId="5" fillId="2" borderId="2" applyAlignment="1" pivotButton="0" quotePrefix="0" xfId="0">
      <alignment horizontal="right" vertical="center"/>
    </xf>
    <xf numFmtId="165" fontId="5" fillId="2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3" fillId="8" borderId="3" applyAlignment="1" pivotButton="0" quotePrefix="0" xfId="0">
      <alignment horizontal="right" vertical="center"/>
    </xf>
    <xf numFmtId="0" fontId="0" fillId="8" borderId="3" pivotButton="0" quotePrefix="0" xfId="0"/>
    <xf numFmtId="164" fontId="3" fillId="8" borderId="3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0" fontId="0" fillId="5" borderId="3" pivotButton="0" quotePrefix="0" xfId="0"/>
    <xf numFmtId="164" fontId="3" fillId="5" borderId="3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0" fillId="2" borderId="2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pivotButton="0" quotePrefix="0" xfId="0"/>
    <xf numFmtId="166" fontId="5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3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  <col width="26" customWidth="1" min="4" max="4"/>
    <col width="22" customWidth="1" min="5" max="5"/>
    <col width="14" customWidth="1" min="6" max="6"/>
    <col width="46" customWidth="1" min="7" max="7"/>
  </cols>
  <sheetData>
    <row r="1" ht="32" customHeight="1">
      <c r="A1" s="1" t="inlineStr">
        <is>
          <t>VMC ECO-VENDO: An Empty Bottle-Initiated Internet Access Vending System</t>
        </is>
      </c>
    </row>
    <row r="2" ht="22" customHeight="1">
      <c r="A2" s="2" t="inlineStr">
        <is>
          <t>Turnkey Project Costing, Bill of Materials (BoM) &amp; Professional Engineering Quotation</t>
        </is>
      </c>
    </row>
    <row r="4" ht="20" customHeight="1">
      <c r="A4" s="3" t="inlineStr">
        <is>
          <t>Project Standard:</t>
        </is>
      </c>
      <c r="B4" s="4" t="inlineStr">
        <is>
          <t>VMC ECO-VENDO: An Empty Bottle-Initiated Internet Access Vending System</t>
        </is>
      </c>
      <c r="E4" s="3" t="inlineStr">
        <is>
          <t>Builder Scope:</t>
        </is>
      </c>
      <c r="F4" s="4" t="inlineStr">
        <is>
          <t>Firmware, Electronics Assembly, AS7263 NIR, PCA9685, Chute &amp; Portal</t>
        </is>
      </c>
    </row>
    <row r="5" ht="20" customHeight="1">
      <c r="A5" s="3" t="inlineStr">
        <is>
          <t>Developer / Builder:</t>
        </is>
      </c>
      <c r="B5" s="4" t="inlineStr">
        <is>
          <t>Electrical Engineer &amp; IoT Project Builder</t>
        </is>
      </c>
      <c r="E5" s="3" t="inlineStr">
        <is>
          <t>Professional Rate:</t>
        </is>
      </c>
      <c r="F5" s="4" t="inlineStr">
        <is>
          <t>₱500.00 / hour (Senior Electrical &amp; IoT Engineering Rate)</t>
        </is>
      </c>
    </row>
    <row r="6" ht="20" customHeight="1">
      <c r="A6" s="3" t="inlineStr">
        <is>
          <t>Date Prepared:</t>
        </is>
      </c>
      <c r="B6" s="4" t="inlineStr">
        <is>
          <t>August 2026</t>
        </is>
      </c>
      <c r="E6" s="3" t="inlineStr">
        <is>
          <t>Cabinet Scope:</t>
        </is>
      </c>
      <c r="F6" s="4" t="inlineStr">
        <is>
          <t>Client-Supplied / Excluded (Builder provides dimensional cutout guide)</t>
        </is>
      </c>
    </row>
    <row r="7" ht="20" customHeight="1">
      <c r="A7" s="3" t="inlineStr">
        <is>
          <t>Sensing &amp; Actuation:</t>
        </is>
      </c>
      <c r="B7" s="4" t="inlineStr">
        <is>
          <t>4" PVC Drop Chute + AS7263 NIR Spectrometer + LJ12A3 + 2x Servos</t>
        </is>
      </c>
      <c r="E7" s="3" t="inlineStr">
        <is>
          <t>Core Gateway:</t>
        </is>
      </c>
      <c r="F7" s="4" t="inlineStr">
        <is>
          <t>Orange Pi One (Allwinner H3 512MB) + Armbian Server</t>
        </is>
      </c>
    </row>
    <row r="9" ht="26" customHeight="1">
      <c r="A9" s="5" t="inlineStr">
        <is>
          <t>1. EXECUTIVE COST BREAKDOWN (BUILDER SCOPE OF WORK)</t>
        </is>
      </c>
    </row>
    <row r="10" ht="24" customHeight="1">
      <c r="A10" s="6" t="inlineStr">
        <is>
          <t>Category No.</t>
        </is>
      </c>
      <c r="B10" s="6" t="inlineStr">
        <is>
          <t>Cost Category Description</t>
        </is>
      </c>
      <c r="C10" s="6" t="inlineStr">
        <is>
          <t>Key Scope / Components Included</t>
        </is>
      </c>
      <c r="D10" s="6" t="inlineStr">
        <is>
          <t>Scope Owner</t>
        </is>
      </c>
      <c r="E10" s="6" t="inlineStr">
        <is>
          <t>Amount (PHP)</t>
        </is>
      </c>
      <c r="F10" s="6" t="inlineStr">
        <is>
          <t>% Share</t>
        </is>
      </c>
      <c r="G10" s="6" t="inlineStr">
        <is>
          <t>Notes / References</t>
        </is>
      </c>
    </row>
    <row r="11" ht="24" customHeight="1">
      <c r="A11" s="7" t="inlineStr">
        <is>
          <t>Group A</t>
        </is>
      </c>
      <c r="B11" s="8" t="inlineStr">
        <is>
          <t>Computing, Storage &amp; Networking</t>
        </is>
      </c>
      <c r="C11" s="8" t="inlineStr">
        <is>
          <t>Orange Pi One (512MB), ESP32 DevKit, MicroSD 32GB, TP-Link Outdoor AP</t>
        </is>
      </c>
      <c r="D11" s="7" t="inlineStr">
        <is>
          <t>Builder Scope</t>
        </is>
      </c>
      <c r="E11" s="9">
        <f>'Bill of Materials (BoM)'!K11</f>
        <v/>
      </c>
      <c r="F11" s="10">
        <f>'Bill of Materials (BoM)'!K11/$E$18</f>
        <v/>
      </c>
      <c r="G11" s="8" t="inlineStr">
        <is>
          <t>Proven Piso-WiFi Linux gateway &amp; real-time sensor controller</t>
        </is>
      </c>
    </row>
    <row r="12" ht="24" customHeight="1">
      <c r="A12" s="7" t="inlineStr">
        <is>
          <t>Group B</t>
        </is>
      </c>
      <c r="B12" s="8" t="inlineStr">
        <is>
          <t>Sensing, Chute &amp; Actuation</t>
        </is>
      </c>
      <c r="C12" s="8" t="inlineStr">
        <is>
          <t>4" PVC Drop Chute, AS7263 NIR Spectrometer, LJ12A3 Metal Sensor, PCA9685, 2x Servos, LCD</t>
        </is>
      </c>
      <c r="D12" s="7" t="inlineStr">
        <is>
          <t>Builder Scope</t>
        </is>
      </c>
      <c r="E12" s="9">
        <f>'Bill of Materials (BoM)'!K21</f>
        <v/>
      </c>
      <c r="F12" s="10">
        <f>'Bill of Materials (BoM)'!K21/$E$18</f>
        <v/>
      </c>
      <c r="G12" s="8" t="inlineStr">
        <is>
          <t>Rigid PVC drop pathway, AS7263 NIR PET signature, PCA9685 2-servo airlock &amp; LCD</t>
        </is>
      </c>
    </row>
    <row r="13" ht="24" customHeight="1">
      <c r="A13" s="7" t="inlineStr">
        <is>
          <t>Group C</t>
        </is>
      </c>
      <c r="B13" s="8" t="inlineStr">
        <is>
          <t>Power Supply, Regulation &amp; Safety</t>
        </is>
      </c>
      <c r="C13" s="8" t="inlineStr">
        <is>
          <t>12V 5A (60W) SMPS, XL4015 5A Buck (5.1V logic rail), C14 Fused Inlet, 80mm Fan</t>
        </is>
      </c>
      <c r="D13" s="7" t="inlineStr">
        <is>
          <t>Builder Scope</t>
        </is>
      </c>
      <c r="E13" s="9">
        <f>'Bill of Materials (BoM)'!K28</f>
        <v/>
      </c>
      <c r="F13" s="10">
        <f>'Bill of Materials (BoM)'!K28/$E$18</f>
        <v/>
      </c>
      <c r="G13" s="8" t="inlineStr">
        <is>
          <t>Clean regulated power, master fuse switch &amp; cooling</t>
        </is>
      </c>
    </row>
    <row r="14" ht="24" customHeight="1">
      <c r="A14" s="11" t="inlineStr">
        <is>
          <t>Group D</t>
        </is>
      </c>
      <c r="B14" s="12" t="inlineStr">
        <is>
          <t>Cabinet, Enclosure &amp; Woodwork</t>
        </is>
      </c>
      <c r="C14" s="12" t="inlineStr">
        <is>
          <t>Marine Plywood, Formica, Laser-cut Acrylic Hopper, Cam Locks, Hinges, Decals</t>
        </is>
      </c>
      <c r="D14" s="13" t="inlineStr">
        <is>
          <t>CLIENT SCOPE (EXCLUDED)</t>
        </is>
      </c>
      <c r="E14" s="14" t="n">
        <v>0</v>
      </c>
      <c r="F14" s="15">
        <f>0</f>
        <v/>
      </c>
      <c r="G14" s="12" t="inlineStr">
        <is>
          <t>Client will build; Builder provides dimensions &amp; fitment guide</t>
        </is>
      </c>
    </row>
    <row r="15" ht="24" customHeight="1">
      <c r="A15" s="7" t="inlineStr">
        <is>
          <t>Group E</t>
        </is>
      </c>
      <c r="B15" s="8" t="inlineStr">
        <is>
          <t>Fasteners, Shield &amp; Wiring Loom</t>
        </is>
      </c>
      <c r="C15" s="8" t="inlineStr">
        <is>
          <t>ESP32 screw terminal shield, silicone wiring, brass standoffs, heatshrink, Cat6 UTP</t>
        </is>
      </c>
      <c r="D15" s="7" t="inlineStr">
        <is>
          <t>Builder Scope</t>
        </is>
      </c>
      <c r="E15" s="9">
        <f>'Bill of Materials (BoM)'!K42</f>
        <v/>
      </c>
      <c r="F15" s="10">
        <f>'Bill of Materials (BoM)'!K42/$E$18</f>
        <v/>
      </c>
      <c r="G15" s="8" t="inlineStr">
        <is>
          <t>Vibration-proof terminal connections &amp; cabling</t>
        </is>
      </c>
    </row>
    <row r="16" ht="24" customHeight="1">
      <c r="A16" s="7" t="inlineStr">
        <is>
          <t>Labor</t>
        </is>
      </c>
      <c r="B16" s="8" t="inlineStr">
        <is>
          <t>Professional Engineering &amp; Assembly Labor</t>
        </is>
      </c>
      <c r="C16" s="8" t="inlineStr">
        <is>
          <t>46 Hours (Schematics, AS7263 I2C, PCA9685, 2-Servo Airlock, Linux Gateway, VMC ECO-VENDO Portal, QA)</t>
        </is>
      </c>
      <c r="D16" s="7" t="inlineStr">
        <is>
          <t>Builder Scope</t>
        </is>
      </c>
      <c r="E16" s="9">
        <f>'Labor Breakdown (WBS)'!F10</f>
        <v/>
      </c>
      <c r="F16" s="10">
        <f>'Labor Breakdown (WBS)'!F10/$E$18</f>
        <v/>
      </c>
      <c r="G16" s="8" t="inlineStr">
        <is>
          <t>Licensed Electrical Engineer rate @ ₱500.00/hour</t>
        </is>
      </c>
    </row>
    <row r="17" ht="24" customHeight="1">
      <c r="A17" s="7" t="inlineStr">
        <is>
          <t>Contingency</t>
        </is>
      </c>
      <c r="B17" s="8" t="inlineStr">
        <is>
          <t>Electronics &amp; Sourcing Contingency</t>
        </is>
      </c>
      <c r="C17" s="8" t="inlineStr">
        <is>
          <t>Extra solder, test calibration bottles, spare connectors, shipping buffer (approx 5%)</t>
        </is>
      </c>
      <c r="D17" s="7" t="inlineStr">
        <is>
          <t>Builder Scope</t>
        </is>
      </c>
      <c r="E17" s="9" t="n">
        <v>450</v>
      </c>
      <c r="F17" s="10">
        <f>E17/$E$18</f>
        <v/>
      </c>
      <c r="G17" s="8" t="inlineStr">
        <is>
          <t>Safety buffer for electronic components &amp; shipping variance</t>
        </is>
      </c>
    </row>
    <row r="18" ht="26" customHeight="1">
      <c r="A18" s="16" t="inlineStr">
        <is>
          <t>TOTAL</t>
        </is>
      </c>
      <c r="B18" s="17" t="inlineStr">
        <is>
          <t>TOTAL CONTRACT COST (BUILDER SCOPE)</t>
        </is>
      </c>
      <c r="C18" s="17" t="inlineStr">
        <is>
          <t>Electronics + AS7263 NIR Spectrometer + 2x Servos + PVC Chute + Firmware + Gateway + Portal + Labor</t>
        </is>
      </c>
      <c r="D18" s="16" t="inlineStr">
        <is>
          <t>Turnkey Scope</t>
        </is>
      </c>
      <c r="E18" s="18">
        <f>SUM(E11:E17)</f>
        <v/>
      </c>
      <c r="F18" s="19">
        <f>SUM(F11:F17)</f>
        <v/>
      </c>
      <c r="G18" s="17" t="inlineStr">
        <is>
          <t>Ready for integration into client-built cabinet</t>
        </is>
      </c>
    </row>
    <row r="20" ht="26" customHeight="1">
      <c r="A20" s="20" t="inlineStr">
        <is>
          <t>2. CONTRACT QUOTATION PACKAGES (FOR CLIENT PROPOSAL)</t>
        </is>
      </c>
    </row>
    <row r="21" ht="24" customHeight="1">
      <c r="A21" s="6" t="inlineStr">
        <is>
          <t>Option</t>
        </is>
      </c>
      <c r="B21" s="6" t="inlineStr">
        <is>
          <t>Contract Model</t>
        </is>
      </c>
      <c r="C21" s="6" t="inlineStr">
        <is>
          <t>Quoted Price (PHP)</t>
        </is>
      </c>
      <c r="D21" s="6" t="inlineStr">
        <is>
          <t>Builder Earnings</t>
        </is>
      </c>
      <c r="E21" s="6" t="inlineStr">
        <is>
          <t>Builder Deliverables &amp; Support</t>
        </is>
      </c>
      <c r="F21" s="6" t="inlineStr">
        <is>
          <t>Client Responsibility</t>
        </is>
      </c>
      <c r="G21" s="6" t="inlineStr">
        <is>
          <t>Recommendation</t>
        </is>
      </c>
    </row>
    <row r="22" ht="32" customHeight="1">
      <c r="A22" s="7" t="inlineStr">
        <is>
          <t>Tier 1</t>
        </is>
      </c>
      <c r="B22" s="8" t="inlineStr">
        <is>
          <t>Direct Build (At-Cost Electronics + Labor @ ₱500/hr)</t>
        </is>
      </c>
      <c r="C22" s="9">
        <f>E18</f>
        <v/>
      </c>
      <c r="D22" s="8" t="inlineStr">
        <is>
          <t>₱23,000.00 (Labor Only)</t>
        </is>
      </c>
      <c r="E22" s="21" t="inlineStr">
        <is>
          <t>Tested electronics chassis, AS7263 NIR sensor, 2-servo airlock chute, VMC ECO-VENDO portal, wiring loom</t>
        </is>
      </c>
      <c r="F22" s="21" t="inlineStr">
        <is>
          <t>Builds cabinet, supplies enclosure &amp; mounts electronics</t>
        </is>
      </c>
      <c r="G22" s="7" t="inlineStr">
        <is>
          <t>Best for transparent / direct contract</t>
        </is>
      </c>
    </row>
    <row r="23" ht="32" customHeight="1">
      <c r="A23" s="22" t="inlineStr">
        <is>
          <t>Tier 2</t>
        </is>
      </c>
      <c r="B23" s="23" t="inlineStr">
        <is>
          <t>Standard Turnkey Contract (+15% Sourcing Buffer)</t>
        </is>
      </c>
      <c r="C23" s="24">
        <f>ROUND(E18+('Bill of Materials (BoM)'!K43*0.15), -2)</f>
        <v/>
      </c>
      <c r="D23" s="23" t="inlineStr">
        <is>
          <t>₱23,000.00 Labor + ₱1,274.00 Parts Buffer</t>
        </is>
      </c>
      <c r="E23" s="25" t="inlineStr">
        <is>
          <t>Pre-tested harness, AS7263 NIR sensor, 2x servos, PCA9685, PVC chute, dimensional drawings, 1-mo support</t>
        </is>
      </c>
      <c r="F23" s="25" t="inlineStr">
        <is>
          <t>Builds cabinet according to provided cutout drawing</t>
        </is>
      </c>
      <c r="G23" s="22" t="inlineStr">
        <is>
          <t>(Recommended) Standard Commercial Contract</t>
        </is>
      </c>
    </row>
    <row r="24" ht="32" customHeight="1">
      <c r="A24" s="7" t="inlineStr">
        <is>
          <t>Tier 3</t>
        </is>
      </c>
      <c r="B24" s="8" t="inlineStr">
        <is>
          <t>Turnkey Package with On-site Setup &amp; 3-Mo SLA</t>
        </is>
      </c>
      <c r="C24" s="9">
        <f>ROUND(E18+5500, -2)</f>
        <v/>
      </c>
      <c r="D24" s="8" t="inlineStr">
        <is>
          <t>₱23,000.00 Labor + ₱5,500.00 SLA &amp; Setup Profit</t>
        </is>
      </c>
      <c r="E24" s="21" t="inlineStr">
        <is>
          <t>Full electronics package, AS7263 NIR, 2x servos, on-site setup assistance, staff training, 3-month SLA warranty</t>
        </is>
      </c>
      <c r="F24" s="21" t="inlineStr">
        <is>
          <t>Builds cabinet &amp; handles physical installation</t>
        </is>
      </c>
      <c r="G24" s="7" t="inlineStr">
        <is>
          <t>Best for SK Councils, LGUs &amp; Institutions</t>
        </is>
      </c>
    </row>
  </sheetData>
  <mergeCells count="12">
    <mergeCell ref="F4:G4"/>
    <mergeCell ref="B5:D5"/>
    <mergeCell ref="A1:G1"/>
    <mergeCell ref="A9:G9"/>
    <mergeCell ref="F5:G5"/>
    <mergeCell ref="B4:D4"/>
    <mergeCell ref="A20:G20"/>
    <mergeCell ref="A2:G2"/>
    <mergeCell ref="F6:G6"/>
    <mergeCell ref="B7:D7"/>
    <mergeCell ref="B6:D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44" customWidth="1" min="4" max="4"/>
    <col width="8" customWidth="1" min="5" max="5"/>
    <col width="10" customWidth="1" min="6" max="6"/>
    <col width="56" customWidth="1" min="7" max="7"/>
    <col width="16" customWidth="1" min="8" max="8"/>
    <col width="18" customWidth="1" min="9" max="9"/>
    <col width="18" customWidth="1" min="10" max="10"/>
    <col width="20" customWidth="1" min="11" max="11"/>
  </cols>
  <sheetData>
    <row r="1" ht="32" customHeight="1">
      <c r="A1" s="1" t="inlineStr">
        <is>
          <t>VMC ECO-VENDO - ITEMIZED BILL OF MATERIALS (BOM)</t>
        </is>
      </c>
    </row>
    <row r="2" ht="22" customHeight="1">
      <c r="A2" s="2" t="inlineStr">
        <is>
          <t>Hardware Architecture with AS7263 6-Channel NIR Spectrometer, 2x Servos, PCA9685 &amp; PH Market Pricing</t>
        </is>
      </c>
    </row>
    <row r="4" ht="24" customHeight="1">
      <c r="A4" s="6" t="inlineStr">
        <is>
          <t>Item Code</t>
        </is>
      </c>
      <c r="B4" s="6" t="inlineStr">
        <is>
          <t>Category</t>
        </is>
      </c>
      <c r="C4" s="6" t="inlineStr">
        <is>
          <t>Component / Part Name</t>
        </is>
      </c>
      <c r="D4" s="6" t="inlineStr">
        <is>
          <t>Model / Spec</t>
        </is>
      </c>
      <c r="E4" s="6" t="inlineStr">
        <is>
          <t>Qty</t>
        </is>
      </c>
      <c r="F4" s="6" t="inlineStr">
        <is>
          <t>Unit</t>
        </is>
      </c>
      <c r="G4" s="6" t="inlineStr">
        <is>
          <t>Engineering Purpose &amp; Function</t>
        </is>
      </c>
      <c r="H4" s="6" t="inlineStr">
        <is>
          <t>Base Price (₱)</t>
        </is>
      </c>
      <c r="I4" s="6" t="inlineStr">
        <is>
          <t>Shipping / Buffer (₱)</t>
        </is>
      </c>
      <c r="J4" s="6" t="inlineStr">
        <is>
          <t>Final Unit Price (₱)</t>
        </is>
      </c>
      <c r="K4" s="6" t="inlineStr">
        <is>
          <t>Subtotal (₱)</t>
        </is>
      </c>
    </row>
    <row r="5" ht="26" customHeight="1">
      <c r="A5" s="5" t="inlineStr">
        <is>
          <t>GROUP A: COMPUTING, STORAGE &amp; NETWORKING (BUILDER SCOPE)</t>
        </is>
      </c>
    </row>
    <row r="6" ht="24" customHeight="1">
      <c r="A6" s="26" t="inlineStr">
        <is>
          <t>A1</t>
        </is>
      </c>
      <c r="B6" s="8" t="inlineStr">
        <is>
          <t>Computing</t>
        </is>
      </c>
      <c r="C6" s="8" t="inlineStr">
        <is>
          <t>Orange Pi One (512MB RAM)</t>
        </is>
      </c>
      <c r="D6" s="8" t="inlineStr">
        <is>
          <t>Allwinner H3 Quad-Core Cortex-A7</t>
        </is>
      </c>
      <c r="E6" s="27" t="n">
        <v>1</v>
      </c>
      <c r="F6" s="7" t="inlineStr">
        <is>
          <t>pc</t>
        </is>
      </c>
      <c r="G6" s="21" t="inlineStr">
        <is>
          <t>Linux gateway, VMC ECO-VENDO Flask captive portal, SQLite, iptables</t>
        </is>
      </c>
      <c r="H6" s="28" t="n">
        <v>1250</v>
      </c>
      <c r="I6" s="28" t="n">
        <v>80</v>
      </c>
      <c r="J6" s="28">
        <f>H6+I6</f>
        <v/>
      </c>
      <c r="K6" s="9">
        <f>E6*J6</f>
        <v/>
      </c>
    </row>
    <row r="7" ht="24" customHeight="1">
      <c r="A7" s="26" t="inlineStr">
        <is>
          <t>A2</t>
        </is>
      </c>
      <c r="B7" s="8" t="inlineStr">
        <is>
          <t>Microcontroller</t>
        </is>
      </c>
      <c r="C7" s="8" t="inlineStr">
        <is>
          <t>ESP32 DevKit V1</t>
        </is>
      </c>
      <c r="D7" s="8" t="inlineStr">
        <is>
          <t>Dual-Core Xtensa LX6 240MHz (30/38 Pin)</t>
        </is>
      </c>
      <c r="E7" s="27" t="n">
        <v>1</v>
      </c>
      <c r="F7" s="7" t="inlineStr">
        <is>
          <t>pc</t>
        </is>
      </c>
      <c r="G7" s="21" t="inlineStr">
        <is>
          <t>Real-time optical drop pulse counting, I2C master &amp; LCD driver</t>
        </is>
      </c>
      <c r="H7" s="28" t="n">
        <v>220</v>
      </c>
      <c r="I7" s="28" t="n">
        <v>40</v>
      </c>
      <c r="J7" s="28">
        <f>H7+I7</f>
        <v/>
      </c>
      <c r="K7" s="9">
        <f>E7*J7</f>
        <v/>
      </c>
    </row>
    <row r="8" ht="24" customHeight="1">
      <c r="A8" s="26" t="inlineStr">
        <is>
          <t>A3</t>
        </is>
      </c>
      <c r="B8" s="8" t="inlineStr">
        <is>
          <t>Storage</t>
        </is>
      </c>
      <c r="C8" s="8" t="inlineStr">
        <is>
          <t>MicroSD Card 32GB Class 10</t>
        </is>
      </c>
      <c r="D8" s="8" t="inlineStr">
        <is>
          <t>SanDisk Ultra A1 98MB/s High Endurance</t>
        </is>
      </c>
      <c r="E8" s="27" t="n">
        <v>1</v>
      </c>
      <c r="F8" s="7" t="inlineStr">
        <is>
          <t>pc</t>
        </is>
      </c>
      <c r="G8" s="21" t="inlineStr">
        <is>
          <t>Armbian OS root filesystem, session database, log storage</t>
        </is>
      </c>
      <c r="H8" s="28" t="n">
        <v>320</v>
      </c>
      <c r="I8" s="28" t="n">
        <v>40</v>
      </c>
      <c r="J8" s="28">
        <f>H8+I8</f>
        <v/>
      </c>
      <c r="K8" s="9">
        <f>E8*J8</f>
        <v/>
      </c>
    </row>
    <row r="9" ht="24" customHeight="1">
      <c r="A9" s="26" t="inlineStr">
        <is>
          <t>A4</t>
        </is>
      </c>
      <c r="B9" s="8" t="inlineStr">
        <is>
          <t>Networking</t>
        </is>
      </c>
      <c r="C9" s="8" t="inlineStr">
        <is>
          <t>Outdoor High-Power AP</t>
        </is>
      </c>
      <c r="D9" s="8" t="inlineStr">
        <is>
          <t>TP-Link CPE220 / EAP110-Outdoor 2.4GHz</t>
        </is>
      </c>
      <c r="E9" s="27" t="n">
        <v>1</v>
      </c>
      <c r="F9" s="7" t="inlineStr">
        <is>
          <t>unit</t>
        </is>
      </c>
      <c r="G9" s="21" t="inlineStr">
        <is>
          <t>Long-range Wi-Fi broadcasting for VMC ECO-VENDO hotspot clients</t>
        </is>
      </c>
      <c r="H9" s="28" t="n">
        <v>2100</v>
      </c>
      <c r="I9" s="28" t="n">
        <v>120</v>
      </c>
      <c r="J9" s="28">
        <f>H9+I9</f>
        <v/>
      </c>
      <c r="K9" s="9">
        <f>E9*J9</f>
        <v/>
      </c>
    </row>
    <row r="10" ht="24" customHeight="1">
      <c r="A10" s="26" t="inlineStr">
        <is>
          <t>A5</t>
        </is>
      </c>
      <c r="B10" s="8" t="inlineStr">
        <is>
          <t>Connectivity</t>
        </is>
      </c>
      <c r="C10" s="8" t="inlineStr">
        <is>
          <t>Short USB Data Cable</t>
        </is>
      </c>
      <c r="D10" s="8" t="inlineStr">
        <is>
          <t>USB-A to Type-C / Micro-B 0.3m shielded</t>
        </is>
      </c>
      <c r="E10" s="27" t="n">
        <v>1</v>
      </c>
      <c r="F10" s="7" t="inlineStr">
        <is>
          <t>pc</t>
        </is>
      </c>
      <c r="G10" s="21" t="inlineStr">
        <is>
          <t>Serial UART link between Orange Pi &amp; ESP32 (115200 baud)</t>
        </is>
      </c>
      <c r="H10" s="28" t="n">
        <v>80</v>
      </c>
      <c r="I10" s="28" t="n">
        <v>20</v>
      </c>
      <c r="J10" s="28">
        <f>H10+I10</f>
        <v/>
      </c>
      <c r="K10" s="9">
        <f>E10*J10</f>
        <v/>
      </c>
    </row>
    <row r="11" ht="24" customHeight="1">
      <c r="A11" s="29" t="inlineStr">
        <is>
          <t>SUBTOTAL GROUP A [BUILDER SCOPE]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1">
        <f>SUM(K6:K10)</f>
        <v/>
      </c>
    </row>
    <row r="12" ht="26" customHeight="1">
      <c r="A12" s="5" t="inlineStr">
        <is>
          <t>GROUP B: SENSING, CHUTE &amp; ACTUATION (BUILDER SCOPE)</t>
        </is>
      </c>
    </row>
    <row r="13" ht="24" customHeight="1">
      <c r="A13" s="26" t="inlineStr">
        <is>
          <t>B1</t>
        </is>
      </c>
      <c r="B13" s="8" t="inlineStr">
        <is>
          <t>Drop Chute</t>
        </is>
      </c>
      <c r="C13" s="8" t="inlineStr">
        <is>
          <t>4" (100mm) PVC Pipe &amp; 45° Elbow</t>
        </is>
      </c>
      <c r="D13" s="8" t="inlineStr">
        <is>
          <t>Series 1000 PVC pipe (~1m) + 45° elbow fitting</t>
        </is>
      </c>
      <c r="E13" s="27" t="n">
        <v>1</v>
      </c>
      <c r="F13" s="7" t="inlineStr">
        <is>
          <t>set</t>
        </is>
      </c>
      <c r="G13" s="21" t="inlineStr">
        <is>
          <t>Rigid, smooth drop pathway for PET bottles; pre-drilled for sensors</t>
        </is>
      </c>
      <c r="H13" s="28" t="n">
        <v>240</v>
      </c>
      <c r="I13" s="28" t="n">
        <v>40</v>
      </c>
      <c r="J13" s="28">
        <f>H13+I13</f>
        <v/>
      </c>
      <c r="K13" s="9">
        <f>E13*J13</f>
        <v/>
      </c>
    </row>
    <row r="14" ht="24" customHeight="1">
      <c r="A14" s="26" t="inlineStr">
        <is>
          <t>B2</t>
        </is>
      </c>
      <c r="B14" s="8" t="inlineStr">
        <is>
          <t>Optical IR</t>
        </is>
      </c>
      <c r="C14" s="8" t="inlineStr">
        <is>
          <t>E18-D80NK Adjustable IR Sensor</t>
        </is>
      </c>
      <c r="D14" s="8" t="inlineStr">
        <is>
          <t>NPN NO 3-80cm Diffuse Optical Beam</t>
        </is>
      </c>
      <c r="E14" s="27" t="n">
        <v>2</v>
      </c>
      <c r="F14" s="7" t="inlineStr">
        <is>
          <t>pcs</t>
        </is>
      </c>
      <c r="G14" s="21" t="inlineStr">
        <is>
          <t>Chute entrance presence &amp; drop confirmation beam counter (2ms)</t>
        </is>
      </c>
      <c r="H14" s="28" t="n">
        <v>135</v>
      </c>
      <c r="I14" s="28" t="n">
        <v>30</v>
      </c>
      <c r="J14" s="28">
        <f>H14+I14</f>
        <v/>
      </c>
      <c r="K14" s="9">
        <f>E14*J14</f>
        <v/>
      </c>
    </row>
    <row r="15" ht="24" customHeight="1">
      <c r="A15" s="26" t="inlineStr">
        <is>
          <t>B3</t>
        </is>
      </c>
      <c r="B15" s="8" t="inlineStr">
        <is>
          <t>Inductive</t>
        </is>
      </c>
      <c r="C15" s="8" t="inlineStr">
        <is>
          <t>LJ12A3-4-Z/BX Metal Sensor</t>
        </is>
      </c>
      <c r="D15" s="8" t="inlineStr">
        <is>
          <t>Inductive Proximity 4mm NPN NO (6-36V)</t>
        </is>
      </c>
      <c r="E15" s="27" t="n">
        <v>1</v>
      </c>
      <c r="F15" s="7" t="inlineStr">
        <is>
          <t>pc</t>
        </is>
      </c>
      <c r="G15" s="21" t="inlineStr">
        <is>
          <t>Mounted on PVC airlock chamber to detect &amp; lockout tin/metal cans</t>
        </is>
      </c>
      <c r="H15" s="28" t="n">
        <v>140</v>
      </c>
      <c r="I15" s="28" t="n">
        <v>30</v>
      </c>
      <c r="J15" s="28">
        <f>H15+I15</f>
        <v/>
      </c>
      <c r="K15" s="9">
        <f>E15*J15</f>
        <v/>
      </c>
    </row>
    <row r="16" ht="24" customHeight="1">
      <c r="A16" s="26" t="inlineStr">
        <is>
          <t>B4</t>
        </is>
      </c>
      <c r="B16" s="8" t="inlineStr">
        <is>
          <t>Spectrometry</t>
        </is>
      </c>
      <c r="C16" s="8" t="inlineStr">
        <is>
          <t>AS7263 6-Channel NIR Spectrometer</t>
        </is>
      </c>
      <c r="D16" s="8" t="inlineStr">
        <is>
          <t>610-860nm Near-Infrared Optical Spectral Sensor (I2C)</t>
        </is>
      </c>
      <c r="E16" s="27" t="n">
        <v>1</v>
      </c>
      <c r="F16" s="7" t="inlineStr">
        <is>
          <t>module</t>
        </is>
      </c>
      <c r="G16" s="21" t="inlineStr">
        <is>
          <t>Directly measures NIR reflectance signature to confirm PET plastic material</t>
        </is>
      </c>
      <c r="H16" s="28" t="n">
        <v>950</v>
      </c>
      <c r="I16" s="28" t="n">
        <v>50</v>
      </c>
      <c r="J16" s="28">
        <f>H16+I16</f>
        <v/>
      </c>
      <c r="K16" s="9">
        <f>E16*J16</f>
        <v/>
      </c>
    </row>
    <row r="17" ht="24" customHeight="1">
      <c r="A17" s="26" t="inlineStr">
        <is>
          <t>B5</t>
        </is>
      </c>
      <c r="B17" s="8" t="inlineStr">
        <is>
          <t>Servo Driver</t>
        </is>
      </c>
      <c r="C17" s="8" t="inlineStr">
        <is>
          <t>PCA9685 16-Channel PWM Driver</t>
        </is>
      </c>
      <c r="D17" s="8" t="inlineStr">
        <is>
          <t>12-bit I2C PWM driver with power terminal &amp; capacitor</t>
        </is>
      </c>
      <c r="E17" s="27" t="n">
        <v>1</v>
      </c>
      <c r="F17" s="7" t="inlineStr">
        <is>
          <t>module</t>
        </is>
      </c>
      <c r="G17" s="21" t="inlineStr">
        <is>
          <t>Dedicated hardware I2C servo controller; isolates servo power from ESP32</t>
        </is>
      </c>
      <c r="H17" s="28" t="n">
        <v>110</v>
      </c>
      <c r="I17" s="28" t="n">
        <v>25</v>
      </c>
      <c r="J17" s="28">
        <f>H17+I17</f>
        <v/>
      </c>
      <c r="K17" s="9">
        <f>E17*J17</f>
        <v/>
      </c>
    </row>
    <row r="18" ht="24" customHeight="1">
      <c r="A18" s="26" t="inlineStr">
        <is>
          <t>B6</t>
        </is>
      </c>
      <c r="B18" s="8" t="inlineStr">
        <is>
          <t>Actuators</t>
        </is>
      </c>
      <c r="C18" s="8" t="inlineStr">
        <is>
          <t>MG996R Metal Gear Servo</t>
        </is>
      </c>
      <c r="D18" s="8" t="inlineStr">
        <is>
          <t>High-Torque 13kg.cm Digital Servo</t>
        </is>
      </c>
      <c r="E18" s="27" t="n">
        <v>2</v>
      </c>
      <c r="F18" s="7" t="inlineStr">
        <is>
          <t>pcs</t>
        </is>
      </c>
      <c r="G18" s="21" t="inlineStr">
        <is>
          <t>2x Servos: 1x Outer Entrance Security Door + 1x Internal Drop Trapdoor</t>
        </is>
      </c>
      <c r="H18" s="28" t="n">
        <v>210</v>
      </c>
      <c r="I18" s="28" t="n">
        <v>40</v>
      </c>
      <c r="J18" s="28">
        <f>H18+I18</f>
        <v/>
      </c>
      <c r="K18" s="9">
        <f>E18*J18</f>
        <v/>
      </c>
    </row>
    <row r="19" ht="24" customHeight="1">
      <c r="A19" s="26" t="inlineStr">
        <is>
          <t>B7</t>
        </is>
      </c>
      <c r="B19" s="8" t="inlineStr">
        <is>
          <t>Display</t>
        </is>
      </c>
      <c r="C19" s="8" t="inlineStr">
        <is>
          <t>20x4 Character LCD + I2C</t>
        </is>
      </c>
      <c r="D19" s="8" t="inlineStr">
        <is>
          <t>HD44780 with PCF8574 I2C adapter backpack</t>
        </is>
      </c>
      <c r="E19" s="27" t="n">
        <v>1</v>
      </c>
      <c r="F19" s="7" t="inlineStr">
        <is>
          <t>pc</t>
        </is>
      </c>
      <c r="G19" s="21" t="inlineStr">
        <is>
          <t>Primary on-screen guide (Insert Bottle / Rate / Bottles Count)</t>
        </is>
      </c>
      <c r="H19" s="28" t="n">
        <v>295</v>
      </c>
      <c r="I19" s="28" t="n">
        <v>35</v>
      </c>
      <c r="J19" s="28">
        <f>H19+I19</f>
        <v/>
      </c>
      <c r="K19" s="9">
        <f>E19*J19</f>
        <v/>
      </c>
    </row>
    <row r="20" ht="24" customHeight="1">
      <c r="A20" s="26" t="inlineStr">
        <is>
          <t>B8</t>
        </is>
      </c>
      <c r="B20" s="8" t="inlineStr">
        <is>
          <t>Audio/Visual</t>
        </is>
      </c>
      <c r="C20" s="8" t="inlineStr">
        <is>
          <t>5V Active Buzzer &amp; LED Kit</t>
        </is>
      </c>
      <c r="D20" s="8" t="inlineStr">
        <is>
          <t>5V Beeper + 5mm Green/Red Status LEDs</t>
        </is>
      </c>
      <c r="E20" s="27" t="n">
        <v>1</v>
      </c>
      <c r="F20" s="7" t="inlineStr">
        <is>
          <t>set</t>
        </is>
      </c>
      <c r="G20" s="21" t="inlineStr">
        <is>
          <t>Beep feedback on valid drop &amp; visual status lights</t>
        </is>
      </c>
      <c r="H20" s="28" t="n">
        <v>75</v>
      </c>
      <c r="I20" s="28" t="n">
        <v>25</v>
      </c>
      <c r="J20" s="28">
        <f>H20+I20</f>
        <v/>
      </c>
      <c r="K20" s="9">
        <f>E20*J20</f>
        <v/>
      </c>
    </row>
    <row r="21" ht="24" customHeight="1">
      <c r="A21" s="29" t="inlineStr">
        <is>
          <t>SUBTOTAL GROUP B [BUILDER SCOPE]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1">
        <f>SUM(K13:K20)</f>
        <v/>
      </c>
    </row>
    <row r="22" ht="26" customHeight="1">
      <c r="A22" s="5" t="inlineStr">
        <is>
          <t>GROUP C: POWER DISTRIBUTION, REGULATION &amp; SAFETY (BUILDER SCOPE)</t>
        </is>
      </c>
    </row>
    <row r="23" ht="24" customHeight="1">
      <c r="A23" s="26" t="inlineStr">
        <is>
          <t>C1</t>
        </is>
      </c>
      <c r="B23" s="8" t="inlineStr">
        <is>
          <t>Main Power</t>
        </is>
      </c>
      <c r="C23" s="8" t="inlineStr">
        <is>
          <t>12V 5A (60W) Industrial SMPS</t>
        </is>
      </c>
      <c r="D23" s="8" t="inlineStr">
        <is>
          <t>Enclosed metal switching power supply</t>
        </is>
      </c>
      <c r="E23" s="27" t="n">
        <v>1</v>
      </c>
      <c r="F23" s="7" t="inlineStr">
        <is>
          <t>unit</t>
        </is>
      </c>
      <c r="G23" s="21" t="inlineStr">
        <is>
          <t>Main AC-DC power converter for entire VMC ECO-VENDO</t>
        </is>
      </c>
      <c r="H23" s="28" t="n">
        <v>320</v>
      </c>
      <c r="I23" s="28" t="n">
        <v>50</v>
      </c>
      <c r="J23" s="28">
        <f>H23+I23</f>
        <v/>
      </c>
      <c r="K23" s="9">
        <f>E23*J23</f>
        <v/>
      </c>
    </row>
    <row r="24" ht="24" customHeight="1">
      <c r="A24" s="26" t="inlineStr">
        <is>
          <t>C2</t>
        </is>
      </c>
      <c r="B24" s="8" t="inlineStr">
        <is>
          <t>Buck Converter</t>
        </is>
      </c>
      <c r="C24" s="8" t="inlineStr">
        <is>
          <t>XL4015 5A Step-Down DC-DC</t>
        </is>
      </c>
      <c r="D24" s="8" t="inlineStr">
        <is>
          <t>Adjustable buck converter with heatsink</t>
        </is>
      </c>
      <c r="E24" s="27" t="n">
        <v>1</v>
      </c>
      <c r="F24" s="7" t="inlineStr">
        <is>
          <t>module</t>
        </is>
      </c>
      <c r="G24" s="21" t="inlineStr">
        <is>
          <t>Steps 12V down to 5.1V logic rail for Orange Pi, ESP32 &amp; PCA9685 V+</t>
        </is>
      </c>
      <c r="H24" s="28" t="n">
        <v>110</v>
      </c>
      <c r="I24" s="28" t="n">
        <v>25</v>
      </c>
      <c r="J24" s="28">
        <f>H24+I24</f>
        <v/>
      </c>
      <c r="K24" s="9">
        <f>E24*J24</f>
        <v/>
      </c>
    </row>
    <row r="25" ht="24" customHeight="1">
      <c r="A25" s="26" t="inlineStr">
        <is>
          <t>C3</t>
        </is>
      </c>
      <c r="B25" s="8" t="inlineStr">
        <is>
          <t>AC Safety</t>
        </is>
      </c>
      <c r="C25" s="8" t="inlineStr">
        <is>
          <t>AC C14 Socket with Fuse &amp; Switch</t>
        </is>
      </c>
      <c r="D25" s="8" t="inlineStr">
        <is>
          <t>IEC 320 C14 with 10A fuse &amp; toggle switch</t>
        </is>
      </c>
      <c r="E25" s="27" t="n">
        <v>1</v>
      </c>
      <c r="F25" s="7" t="inlineStr">
        <is>
          <t>pc</t>
        </is>
      </c>
      <c r="G25" s="21" t="inlineStr">
        <is>
          <t>Main 220V power inlet with surge fuse and master switch</t>
        </is>
      </c>
      <c r="H25" s="28" t="n">
        <v>120</v>
      </c>
      <c r="I25" s="28" t="n">
        <v>25</v>
      </c>
      <c r="J25" s="28">
        <f>H25+I25</f>
        <v/>
      </c>
      <c r="K25" s="9">
        <f>E25*J25</f>
        <v/>
      </c>
    </row>
    <row r="26" ht="24" customHeight="1">
      <c r="A26" s="26" t="inlineStr">
        <is>
          <t>C4</t>
        </is>
      </c>
      <c r="B26" s="8" t="inlineStr">
        <is>
          <t>AC Cable</t>
        </is>
      </c>
      <c r="C26" s="8" t="inlineStr">
        <is>
          <t>Heavy-Duty 3-Prong AC Power Cord</t>
        </is>
      </c>
      <c r="D26" s="8" t="inlineStr">
        <is>
          <t>1.8m 3x0.75mm² grounded plug cord</t>
        </is>
      </c>
      <c r="E26" s="27" t="n">
        <v>1</v>
      </c>
      <c r="F26" s="7" t="inlineStr">
        <is>
          <t>pc</t>
        </is>
      </c>
      <c r="G26" s="21" t="inlineStr">
        <is>
          <t>Connects machine safely to building wall outlet</t>
        </is>
      </c>
      <c r="H26" s="28" t="n">
        <v>110</v>
      </c>
      <c r="I26" s="28" t="n">
        <v>20</v>
      </c>
      <c r="J26" s="28">
        <f>H26+I26</f>
        <v/>
      </c>
      <c r="K26" s="9">
        <f>E26*J26</f>
        <v/>
      </c>
    </row>
    <row r="27" ht="24" customHeight="1">
      <c r="A27" s="26" t="inlineStr">
        <is>
          <t>C5</t>
        </is>
      </c>
      <c r="B27" s="8" t="inlineStr">
        <is>
          <t>Cooling</t>
        </is>
      </c>
      <c r="C27" s="8" t="inlineStr">
        <is>
          <t>12V 80mm DC Exhaust Fan + Grill</t>
        </is>
      </c>
      <c r="D27" s="8" t="inlineStr">
        <is>
          <t>Brushless cooling fan with finger grill</t>
        </is>
      </c>
      <c r="E27" s="27" t="n">
        <v>1</v>
      </c>
      <c r="F27" s="7" t="inlineStr">
        <is>
          <t>set</t>
        </is>
      </c>
      <c r="G27" s="21" t="inlineStr">
        <is>
          <t>Continuous exhaust ventilation for Orange Pi and power supply</t>
        </is>
      </c>
      <c r="H27" s="28" t="n">
        <v>130</v>
      </c>
      <c r="I27" s="28" t="n">
        <v>30</v>
      </c>
      <c r="J27" s="28">
        <f>H27+I27</f>
        <v/>
      </c>
      <c r="K27" s="9">
        <f>E27*J27</f>
        <v/>
      </c>
    </row>
    <row r="28" ht="24" customHeight="1">
      <c r="A28" s="29" t="inlineStr">
        <is>
          <t>SUBTOTAL GROUP C [BUILDER SCOPE]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SUM(K23:K27)</f>
        <v/>
      </c>
    </row>
    <row r="29" ht="26" customHeight="1">
      <c r="A29" s="32" t="inlineStr">
        <is>
          <t>GROUP D: CABINET, ENCLOSURE &amp; FABRICATION [CLIENT SCOPE - REFERENCE ONLY]</t>
        </is>
      </c>
    </row>
    <row r="30" ht="24" customHeight="1">
      <c r="A30" s="33" t="inlineStr">
        <is>
          <t>D1</t>
        </is>
      </c>
      <c r="B30" s="12" t="inlineStr">
        <is>
          <t>Structure</t>
        </is>
      </c>
      <c r="C30" s="12" t="inlineStr">
        <is>
          <t>Marine Plywood Cabinet + Formica</t>
        </is>
      </c>
      <c r="D30" s="12" t="inlineStr">
        <is>
          <t>1/2" or 3/4" marine plywood with laminate</t>
        </is>
      </c>
      <c r="E30" s="34" t="n">
        <v>1</v>
      </c>
      <c r="F30" s="11" t="inlineStr">
        <is>
          <t>unit</t>
        </is>
      </c>
      <c r="G30" s="35" t="inlineStr">
        <is>
          <t>[CLIENT-BUILT] Weather-resistant structural wooden housing</t>
        </is>
      </c>
      <c r="H30" s="36" t="n">
        <v>2400</v>
      </c>
      <c r="I30" s="36" t="n">
        <v>200</v>
      </c>
      <c r="J30" s="36">
        <f>H30+I30</f>
        <v/>
      </c>
      <c r="K30" s="14">
        <f>E30*J30</f>
        <v/>
      </c>
    </row>
    <row r="31" ht="24" customHeight="1">
      <c r="A31" s="33" t="inlineStr">
        <is>
          <t>D2</t>
        </is>
      </c>
      <c r="B31" s="12" t="inlineStr">
        <is>
          <t>Faceplate</t>
        </is>
      </c>
      <c r="C31" s="12" t="inlineStr">
        <is>
          <t>Laser-Cut Acrylic Bezel &amp; Hopper</t>
        </is>
      </c>
      <c r="D31" s="12" t="inlineStr">
        <is>
          <t>3mm-5mm clear &amp; tinted acrylic panels</t>
        </is>
      </c>
      <c r="E31" s="34" t="n">
        <v>1</v>
      </c>
      <c r="F31" s="11" t="inlineStr">
        <is>
          <t>set</t>
        </is>
      </c>
      <c r="G31" s="35" t="inlineStr">
        <is>
          <t>[CLIENT-BUILT] Display viewing window and intake hopper</t>
        </is>
      </c>
      <c r="H31" s="36" t="n">
        <v>950</v>
      </c>
      <c r="I31" s="36" t="n">
        <v>100</v>
      </c>
      <c r="J31" s="36">
        <f>H31+I31</f>
        <v/>
      </c>
      <c r="K31" s="14">
        <f>E31*J31</f>
        <v/>
      </c>
    </row>
    <row r="32" ht="24" customHeight="1">
      <c r="A32" s="33" t="inlineStr">
        <is>
          <t>D3</t>
        </is>
      </c>
      <c r="B32" s="12" t="inlineStr">
        <is>
          <t>Locks</t>
        </is>
      </c>
      <c r="C32" s="12" t="inlineStr">
        <is>
          <t>Heavy-Duty Cam Locks with Keys</t>
        </is>
      </c>
      <c r="D32" s="12" t="inlineStr">
        <is>
          <t>Tubular cam locks with master keys</t>
        </is>
      </c>
      <c r="E32" s="34" t="n">
        <v>2</v>
      </c>
      <c r="F32" s="11" t="inlineStr">
        <is>
          <t>sets</t>
        </is>
      </c>
      <c r="G32" s="35" t="inlineStr">
        <is>
          <t>[CLIENT-BUILT] Secures maintenance door and bottle collection bin</t>
        </is>
      </c>
      <c r="H32" s="36" t="n">
        <v>120</v>
      </c>
      <c r="I32" s="36" t="n">
        <v>30</v>
      </c>
      <c r="J32" s="36">
        <f>H32+I32</f>
        <v/>
      </c>
      <c r="K32" s="14">
        <f>E32*J32</f>
        <v/>
      </c>
    </row>
    <row r="33" ht="24" customHeight="1">
      <c r="A33" s="33" t="inlineStr">
        <is>
          <t>D4</t>
        </is>
      </c>
      <c r="B33" s="12" t="inlineStr">
        <is>
          <t>Hardware</t>
        </is>
      </c>
      <c r="C33" s="12" t="inlineStr">
        <is>
          <t>Stainless Steel Piano Hinges</t>
        </is>
      </c>
      <c r="D33" s="12" t="inlineStr">
        <is>
          <t>Continuous corrosion-proof door hinges</t>
        </is>
      </c>
      <c r="E33" s="34" t="n">
        <v>1</v>
      </c>
      <c r="F33" s="11" t="inlineStr">
        <is>
          <t>set</t>
        </is>
      </c>
      <c r="G33" s="35" t="inlineStr">
        <is>
          <t>[CLIENT-BUILT] Heavy-duty door hinge mounting</t>
        </is>
      </c>
      <c r="H33" s="36" t="n">
        <v>180</v>
      </c>
      <c r="I33" s="36" t="n">
        <v>30</v>
      </c>
      <c r="J33" s="36">
        <f>H33+I33</f>
        <v/>
      </c>
      <c r="K33" s="14">
        <f>E33*J33</f>
        <v/>
      </c>
    </row>
    <row r="34" ht="24" customHeight="1">
      <c r="A34" s="33" t="inlineStr">
        <is>
          <t>D5</t>
        </is>
      </c>
      <c r="B34" s="12" t="inlineStr">
        <is>
          <t>Branding</t>
        </is>
      </c>
      <c r="C34" s="12" t="inlineStr">
        <is>
          <t>Outdoor Vinyl Sticker Decal Wrap</t>
        </is>
      </c>
      <c r="D34" s="12" t="inlineStr">
        <is>
          <t>Laminated waterproof UV-resistant print</t>
        </is>
      </c>
      <c r="E34" s="34" t="n">
        <v>1</v>
      </c>
      <c r="F34" s="11" t="inlineStr">
        <is>
          <t>set</t>
        </is>
      </c>
      <c r="G34" s="35" t="inlineStr">
        <is>
          <t>[CLIENT-BUILT] VMC ECO-VENDO instructions &amp; graphic branding</t>
        </is>
      </c>
      <c r="H34" s="36" t="n">
        <v>450</v>
      </c>
      <c r="I34" s="36" t="n">
        <v>50</v>
      </c>
      <c r="J34" s="36">
        <f>H34+I34</f>
        <v/>
      </c>
      <c r="K34" s="14">
        <f>E34*J34</f>
        <v/>
      </c>
    </row>
    <row r="35" ht="24" customHeight="1">
      <c r="A35" s="37" t="inlineStr">
        <is>
          <t>SUBTOTAL GROUP D [CLIENT ESTIMATE ONLY]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9">
        <f>SUM(K30:K34)</f>
        <v/>
      </c>
    </row>
    <row r="36" ht="26" customHeight="1">
      <c r="A36" s="5" t="inlineStr">
        <is>
          <t>GROUP E: FASTENERS, SHIELD &amp; WIRING LOOM (BUILDER SCOPE)</t>
        </is>
      </c>
    </row>
    <row r="37" ht="24" customHeight="1">
      <c r="A37" s="26" t="inlineStr">
        <is>
          <t>E1</t>
        </is>
      </c>
      <c r="B37" s="8" t="inlineStr">
        <is>
          <t>PCB Shield</t>
        </is>
      </c>
      <c r="C37" s="8" t="inlineStr">
        <is>
          <t>ESP32 Terminal Shield Breakout</t>
        </is>
      </c>
      <c r="D37" s="8" t="inlineStr">
        <is>
          <t>Screw terminal breakout PCB for ESP32</t>
        </is>
      </c>
      <c r="E37" s="27" t="n">
        <v>1</v>
      </c>
      <c r="F37" s="7" t="inlineStr">
        <is>
          <t>pc</t>
        </is>
      </c>
      <c r="G37" s="21" t="inlineStr">
        <is>
          <t>Vibration-proof screw connections for all sensor wires</t>
        </is>
      </c>
      <c r="H37" s="28" t="n">
        <v>180</v>
      </c>
      <c r="I37" s="28" t="n">
        <v>30</v>
      </c>
      <c r="J37" s="28">
        <f>H37+I37</f>
        <v/>
      </c>
      <c r="K37" s="9">
        <f>E37*J37</f>
        <v/>
      </c>
    </row>
    <row r="38" ht="24" customHeight="1">
      <c r="A38" s="26" t="inlineStr">
        <is>
          <t>E2</t>
        </is>
      </c>
      <c r="B38" s="8" t="inlineStr">
        <is>
          <t>Hardware</t>
        </is>
      </c>
      <c r="C38" s="8" t="inlineStr">
        <is>
          <t>M3/M4 Brass Standoffs, Screws &amp; Nuts</t>
        </is>
      </c>
      <c r="D38" s="8" t="inlineStr">
        <is>
          <t>Stainless steel &amp; brass fastener kit</t>
        </is>
      </c>
      <c r="E38" s="27" t="n">
        <v>1</v>
      </c>
      <c r="F38" s="7" t="inlineStr">
        <is>
          <t>box</t>
        </is>
      </c>
      <c r="G38" s="21" t="inlineStr">
        <is>
          <t>Rigid mounting for PCBs, buck converters, and sensors</t>
        </is>
      </c>
      <c r="H38" s="28" t="n">
        <v>150</v>
      </c>
      <c r="I38" s="28" t="n">
        <v>30</v>
      </c>
      <c r="J38" s="28">
        <f>H38+I38</f>
        <v/>
      </c>
      <c r="K38" s="9">
        <f>E38*J38</f>
        <v/>
      </c>
    </row>
    <row r="39" ht="24" customHeight="1">
      <c r="A39" s="26" t="inlineStr">
        <is>
          <t>E3</t>
        </is>
      </c>
      <c r="B39" s="8" t="inlineStr">
        <is>
          <t>Wiring</t>
        </is>
      </c>
      <c r="C39" s="8" t="inlineStr">
        <is>
          <t>22AWG/18AWG Silicone Wire &amp; Lugs</t>
        </is>
      </c>
      <c r="D39" s="8" t="inlineStr">
        <is>
          <t>Flexible heat-resistant multi-strand wire</t>
        </is>
      </c>
      <c r="E39" s="27" t="n">
        <v>1</v>
      </c>
      <c r="F39" s="7" t="inlineStr">
        <is>
          <t>set</t>
        </is>
      </c>
      <c r="G39" s="21" t="inlineStr">
        <is>
          <t>Internal high-reliability power and signal wiring loom</t>
        </is>
      </c>
      <c r="H39" s="28" t="n">
        <v>180</v>
      </c>
      <c r="I39" s="28" t="n">
        <v>25</v>
      </c>
      <c r="J39" s="28">
        <f>H39+I39</f>
        <v/>
      </c>
      <c r="K39" s="9">
        <f>E39*J39</f>
        <v/>
      </c>
    </row>
    <row r="40" ht="24" customHeight="1">
      <c r="A40" s="26" t="inlineStr">
        <is>
          <t>E4</t>
        </is>
      </c>
      <c r="B40" s="8" t="inlineStr">
        <is>
          <t>Cable Org</t>
        </is>
      </c>
      <c r="C40" s="8" t="inlineStr">
        <is>
          <t>Heatshrink, Cable Ties &amp; Spiral Wrap</t>
        </is>
      </c>
      <c r="D40" s="8" t="inlineStr">
        <is>
          <t>Polyolefin heatshrink &amp; nylon cable ties</t>
        </is>
      </c>
      <c r="E40" s="27" t="n">
        <v>1</v>
      </c>
      <c r="F40" s="7" t="inlineStr">
        <is>
          <t>set</t>
        </is>
      </c>
      <c r="G40" s="21" t="inlineStr">
        <is>
          <t>Strain relief, insulation and clean cable management</t>
        </is>
      </c>
      <c r="H40" s="28" t="n">
        <v>100</v>
      </c>
      <c r="I40" s="28" t="n">
        <v>20</v>
      </c>
      <c r="J40" s="28">
        <f>H40+I40</f>
        <v/>
      </c>
      <c r="K40" s="9">
        <f>E40*J40</f>
        <v/>
      </c>
    </row>
    <row r="41" ht="24" customHeight="1">
      <c r="A41" s="26" t="inlineStr">
        <is>
          <t>E5</t>
        </is>
      </c>
      <c r="B41" s="8" t="inlineStr">
        <is>
          <t>Network Cable</t>
        </is>
      </c>
      <c r="C41" s="8" t="inlineStr">
        <is>
          <t>Cat6 Outdoor UTP Patch Cable</t>
        </is>
      </c>
      <c r="D41" s="8" t="inlineStr">
        <is>
          <t>5-meter weather-shielded RJ45 cable</t>
        </is>
      </c>
      <c r="E41" s="27" t="n">
        <v>1</v>
      </c>
      <c r="F41" s="7" t="inlineStr">
        <is>
          <t>pc</t>
        </is>
      </c>
      <c r="G41" s="21" t="inlineStr">
        <is>
          <t>PoE link from Orange Pi to outdoor access point</t>
        </is>
      </c>
      <c r="H41" s="28" t="n">
        <v>120</v>
      </c>
      <c r="I41" s="28" t="n">
        <v>20</v>
      </c>
      <c r="J41" s="28">
        <f>H41+I41</f>
        <v/>
      </c>
      <c r="K41" s="9">
        <f>E41*J41</f>
        <v/>
      </c>
    </row>
    <row r="42" ht="24" customHeight="1">
      <c r="A42" s="29" t="inlineStr">
        <is>
          <t>SUBTOTAL GROUP E [BUILDER SCOPE]</t>
        </is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SUM(K37:K41)</f>
        <v/>
      </c>
    </row>
    <row r="43" ht="26" customHeight="1">
      <c r="A43" s="40" t="inlineStr">
        <is>
          <t>TOTAL BUILDER ELECTRONICS &amp; HARDWARE SCOPE (GROUPS A, B, C, E)</t>
        </is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18">
        <f>K11+K21+K28+K42</f>
        <v/>
      </c>
    </row>
  </sheetData>
  <mergeCells count="13">
    <mergeCell ref="A22:K22"/>
    <mergeCell ref="A12:K12"/>
    <mergeCell ref="A29:K29"/>
    <mergeCell ref="A21:J21"/>
    <mergeCell ref="A2:K2"/>
    <mergeCell ref="A28:J28"/>
    <mergeCell ref="A35:J35"/>
    <mergeCell ref="A42:J42"/>
    <mergeCell ref="A43:J43"/>
    <mergeCell ref="A5:K5"/>
    <mergeCell ref="A36:K36"/>
    <mergeCell ref="A1:K1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 ht="32" customHeight="1">
      <c r="A1" s="1" t="inlineStr">
        <is>
          <t>ENGINEERING LABOR BREAKDOWN &amp; WORK BREAKDOWN STRUCTURE (WBS)</t>
        </is>
      </c>
    </row>
    <row r="2" ht="22" customHeight="1">
      <c r="A2" s="2" t="inlineStr">
        <is>
          <t>Electrical Engineering, Circuit Design, Firmware &amp; VMC ECO-VENDO Portal Integration (Rate: ₱500.00 / hour)</t>
        </is>
      </c>
    </row>
    <row r="4" ht="24" customHeight="1">
      <c r="A4" s="6" t="inlineStr">
        <is>
          <t>Phase No.</t>
        </is>
      </c>
      <c r="B4" s="6" t="inlineStr">
        <is>
          <t>Engineering Phase / Milestone</t>
        </is>
      </c>
      <c r="C4" s="6" t="inlineStr">
        <is>
          <t>Detailed Tasks, Sub-deliverables &amp; Scope</t>
        </is>
      </c>
      <c r="D4" s="6" t="inlineStr">
        <is>
          <t>Est. Hours</t>
        </is>
      </c>
      <c r="E4" s="6" t="inlineStr">
        <is>
          <t>Hourly Rate (PHP)</t>
        </is>
      </c>
      <c r="F4" s="6" t="inlineStr">
        <is>
          <t>Phase Cost (PHP)</t>
        </is>
      </c>
      <c r="G4" s="6" t="inlineStr">
        <is>
          <t>Primary Discipline</t>
        </is>
      </c>
    </row>
    <row r="5" ht="64" customHeight="1">
      <c r="A5" s="26" t="inlineStr">
        <is>
          <t>Phase 1</t>
        </is>
      </c>
      <c r="B5" s="8" t="inlineStr">
        <is>
          <t>Electrical Architecture &amp; Power Rail Setup</t>
        </is>
      </c>
      <c r="C5" s="21" t="inlineStr">
        <is>
          <t>• Circuit schematic design, pinout mapping &amp; fuse protection calculations
• Tuning XL4015 buck converter (5.1V logic rail for Orange Pi One, ESP32 &amp; PCA9685)
• Wiring 3.3V I2C bus for AS7263 NIR spectrometer &amp; 10k/10k divider for LJ12A3 inductive
• Assembling AC C14 inlet socket with 10A fuse &amp; master rocker switch</t>
        </is>
      </c>
      <c r="D5" s="42" t="n">
        <v>8</v>
      </c>
      <c r="E5" s="28" t="n">
        <v>500</v>
      </c>
      <c r="F5" s="9">
        <f>D5*E5</f>
        <v/>
      </c>
      <c r="G5" s="8" t="inlineStr">
        <is>
          <t>Electrical Engineering</t>
        </is>
      </c>
    </row>
    <row r="6" ht="64" customHeight="1">
      <c r="A6" s="26" t="inlineStr">
        <is>
          <t>Phase 2</t>
        </is>
      </c>
      <c r="B6" s="8" t="inlineStr">
        <is>
          <t>PVC Drop Pathway, AS7263 NIR &amp; 2-Servo Airlock Sub-Assembly</t>
        </is>
      </c>
      <c r="C6" s="21" t="inlineStr">
        <is>
          <t>• Assembling &amp; pre-drilling 4" PVC drop pipe &amp; 45° elbow for optical sensor mounts
• Mounting AS7263 NIR spectrometer &amp; LJ12A3 inductive sensor into sealed airlock chamber
• Wiring PCA9685 16-channel I2C PWM driver board &amp; 2x MG996R servos (Outer &amp; Drop)
• Assembling electronics chassis plate, terminal blocks &amp; buck converters</t>
        </is>
      </c>
      <c r="D6" s="42" t="n">
        <v>8</v>
      </c>
      <c r="E6" s="28" t="n">
        <v>500</v>
      </c>
      <c r="F6" s="9">
        <f>D6*E6</f>
        <v/>
      </c>
      <c r="G6" s="8" t="inlineStr">
        <is>
          <t>Electrical &amp; Mechatronics Consulting</t>
        </is>
      </c>
    </row>
    <row r="7" ht="64" customHeight="1">
      <c r="A7" s="26" t="inlineStr">
        <is>
          <t>Phase 3</t>
        </is>
      </c>
      <c r="B7" s="8" t="inlineStr">
        <is>
          <t>ESP32 FreeRTOS Embedded Firmware Development</t>
        </is>
      </c>
      <c r="C7" s="21" t="inlineStr">
        <is>
          <t>• Implementing high-speed ISR optical beam-break drop detection
• Developing I2C PCA9685 2-servo airlock state machine (Outer Gate &amp; Internal Trapdoor)
• AS7263 6-channel NIR spectral calibration (860nm PET peak) &amp; tin lockout logic
• Implementing JSON UART serialization protocol to stream telemetry to Orange Pi</t>
        </is>
      </c>
      <c r="D7" s="42" t="n">
        <v>10</v>
      </c>
      <c r="E7" s="28" t="n">
        <v>500</v>
      </c>
      <c r="F7" s="9">
        <f>D7*E7</f>
        <v/>
      </c>
      <c r="G7" s="8" t="inlineStr">
        <is>
          <t>Firmware / Embedded C++</t>
        </is>
      </c>
    </row>
    <row r="8" ht="64" customHeight="1">
      <c r="A8" s="26" t="inlineStr">
        <is>
          <t>Phase 4</t>
        </is>
      </c>
      <c r="B8" s="8" t="inlineStr">
        <is>
          <t>Orange Pi Armbian &amp; VMC ECO-VENDO Portal Engine</t>
        </is>
      </c>
      <c r="C8" s="21" t="inlineStr">
        <is>
          <t>• Flashing Armbian Linux on Orange Pi One &amp; configuring systemd service daemons
• Deploying branded VMC ECO-VENDO Flask captive portal with live bottle deposit modal
• Setting up dynamic ipset &amp; iptables firewall rules for time-based access
• Implementing SQLite bottle statistics tracking and anti-tethering (TTL=64) rules</t>
        </is>
      </c>
      <c r="D8" s="42" t="n">
        <v>12</v>
      </c>
      <c r="E8" s="28" t="n">
        <v>500</v>
      </c>
      <c r="F8" s="9">
        <f>D8*E8</f>
        <v/>
      </c>
      <c r="G8" s="8" t="inlineStr">
        <is>
          <t>Linux / Network Software</t>
        </is>
      </c>
    </row>
    <row r="9" ht="64" customHeight="1">
      <c r="A9" s="26" t="inlineStr">
        <is>
          <t>Phase 5</t>
        </is>
      </c>
      <c r="B9" s="8" t="inlineStr">
        <is>
          <t>System Integration, Anti-Cheat Testing &amp; QA</t>
        </is>
      </c>
      <c r="C9" s="21" t="inlineStr">
        <is>
          <t>• Full bottle drop testing down the 4" PVC chute and AS7263 NIR spectral validation
• Anti-cheat testing (verifying rapid drops, metal can rejection &amp; string pull defense)
• 24-hour continuous burn-in load test and Wi-Fi throughput validation
• Builder documentation, wiring diagram handoff, and client briefing</t>
        </is>
      </c>
      <c r="D9" s="42" t="n">
        <v>8</v>
      </c>
      <c r="E9" s="28" t="n">
        <v>500</v>
      </c>
      <c r="F9" s="9">
        <f>D9*E9</f>
        <v/>
      </c>
      <c r="G9" s="8" t="inlineStr">
        <is>
          <t>QA &amp; Systems Engineering</t>
        </is>
      </c>
    </row>
    <row r="10" ht="26" customHeight="1">
      <c r="A10" s="40" t="inlineStr">
        <is>
          <t>TOTAL ESTIMATED ENGINEERING &amp; ASSEMBLY LABOR (BUILDER SCOPE)</t>
        </is>
      </c>
      <c r="B10" s="43" t="n"/>
      <c r="C10" s="43" t="n"/>
      <c r="D10" s="44">
        <f>SUM(D5:D9)</f>
        <v/>
      </c>
      <c r="E10" s="16" t="inlineStr">
        <is>
          <t>Rate @ ₱500/hr</t>
        </is>
      </c>
      <c r="F10" s="18">
        <f>SUM(F5:F9)</f>
        <v/>
      </c>
      <c r="G10" s="16" t="inlineStr">
        <is>
          <t>EE &amp; Firmware Scope</t>
        </is>
      </c>
    </row>
    <row r="12" ht="26" customHeight="1">
      <c r="A12" s="20" t="inlineStr">
        <is>
          <t>MARKET RATE BENCHMARKING (PHILIPPINE ENGINEERING LABOR)</t>
        </is>
      </c>
    </row>
    <row r="13" ht="24" customHeight="1">
      <c r="A13" s="6" t="inlineStr">
        <is>
          <t>Labor Tier</t>
        </is>
      </c>
      <c r="B13" s="6" t="inlineStr">
        <is>
          <t>Experience / Skill Profile</t>
        </is>
      </c>
      <c r="C13" s="6" t="inlineStr">
        <is>
          <t>Hourly Rate (PHP)</t>
        </is>
      </c>
      <c r="D13" s="6" t="inlineStr">
        <is>
          <t>Est. Project Labor (46h)</t>
        </is>
      </c>
      <c r="F13" s="6" t="inlineStr">
        <is>
          <t>Market Assessment</t>
        </is>
      </c>
      <c r="G13" s="6" t="inlineStr">
        <is>
          <t>Target Applicability</t>
        </is>
      </c>
    </row>
    <row r="14" ht="24" customHeight="1">
      <c r="A14" s="45" t="inlineStr">
        <is>
          <t>Tier 1: General Assembler</t>
        </is>
      </c>
      <c r="B14" s="8" t="inlineStr">
        <is>
          <t>Basic wiring, screw tightening, physical assembly</t>
        </is>
      </c>
      <c r="C14" s="28" t="n">
        <v>120</v>
      </c>
      <c r="D14" s="9">
        <f>C14*46</f>
        <v/>
      </c>
      <c r="E14" s="8" t="inlineStr">
        <is>
          <t>Entry-level / Apprentice rate</t>
        </is>
      </c>
      <c r="F14" s="46" t="n"/>
      <c r="G14" s="8" t="inlineStr">
        <is>
          <t>Component assembly helper</t>
        </is>
      </c>
    </row>
    <row r="15" ht="24" customHeight="1">
      <c r="A15" s="45" t="inlineStr">
        <is>
          <t>Tier 2: Electronics Technician</t>
        </is>
      </c>
      <c r="B15" s="8" t="inlineStr">
        <is>
          <t>PCB soldering, harness wiring, component testing</t>
        </is>
      </c>
      <c r="C15" s="28" t="n">
        <v>180</v>
      </c>
      <c r="D15" s="9">
        <f>C15*46</f>
        <v/>
      </c>
      <c r="E15" s="8" t="inlineStr">
        <is>
          <t>Mid-level technician rate</t>
        </is>
      </c>
      <c r="F15" s="46" t="n"/>
      <c r="G15" s="8" t="inlineStr">
        <is>
          <t>Electronics wiring technician</t>
        </is>
      </c>
    </row>
    <row r="16" ht="24" customHeight="1">
      <c r="A16" s="45" t="inlineStr">
        <is>
          <t>Tier 3: Budget Engineering Rate</t>
        </is>
      </c>
      <c r="B16" s="8" t="inlineStr">
        <is>
          <t>Junior engineer / Discounted freelance rate</t>
        </is>
      </c>
      <c r="C16" s="28" t="n">
        <v>250</v>
      </c>
      <c r="D16" s="9">
        <f>C16*46</f>
        <v/>
      </c>
      <c r="E16" s="8" t="inlineStr">
        <is>
          <t>Budget client-friendly rate</t>
        </is>
      </c>
      <c r="F16" s="46" t="n"/>
      <c r="G16" s="8" t="inlineStr">
        <is>
          <t>Discounted partner projects</t>
        </is>
      </c>
    </row>
    <row r="17" ht="24" customHeight="1">
      <c r="A17" s="45" t="inlineStr">
        <is>
          <t>Tier 4: Standard Freelance EE</t>
        </is>
      </c>
      <c r="B17" s="8" t="inlineStr">
        <is>
          <t>Licensed EE, standard embedded &amp; circuit design</t>
        </is>
      </c>
      <c r="C17" s="28" t="n">
        <v>350</v>
      </c>
      <c r="D17" s="9">
        <f>C17*46</f>
        <v/>
      </c>
      <c r="E17" s="8" t="inlineStr">
        <is>
          <t>Standard professional engineering rate</t>
        </is>
      </c>
      <c r="F17" s="46" t="n"/>
      <c r="G17" s="8" t="inlineStr">
        <is>
          <t>Commercial client contracts</t>
        </is>
      </c>
    </row>
    <row r="18" ht="24" customHeight="1">
      <c r="A18" s="47" t="inlineStr">
        <is>
          <t>Tier 5: Your Professional Rate</t>
        </is>
      </c>
      <c r="B18" s="23" t="inlineStr">
        <is>
          <t>Senior EE, FreeRTOS Firmware, Linux Gateway, Full-Stack IoT</t>
        </is>
      </c>
      <c r="C18" s="48" t="n">
        <v>500</v>
      </c>
      <c r="D18" s="24">
        <f>C18*46</f>
        <v/>
      </c>
      <c r="E18" s="23" t="inlineStr">
        <is>
          <t>(Recommended) Senior Engineering &amp; Turnkey IoT Specialist</t>
        </is>
      </c>
      <c r="F18" s="49" t="n"/>
      <c r="G18" s="23" t="inlineStr">
        <is>
          <t>LGU, SK, Commercial &amp; Turnkey Contracts</t>
        </is>
      </c>
    </row>
  </sheetData>
  <mergeCells count="9">
    <mergeCell ref="A10:C10"/>
    <mergeCell ref="A1:G1"/>
    <mergeCell ref="E16:F16"/>
    <mergeCell ref="E15:F15"/>
    <mergeCell ref="A12:G12"/>
    <mergeCell ref="A2:G2"/>
    <mergeCell ref="E14:F14"/>
    <mergeCell ref="E17:F17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2026-09-17T14:17:49Z</dcterms:created>
  <dcterms:modified xmlns:dcterms="http://purl.org/dc/terms/" xmlns:xsi="http://www.w3.org/2001/XMLSchema-instance" xsi:type="dcterms:W3CDTF">2026-09-17T14:17:49Z</dcterms:modified>
</cp:coreProperties>
</file>
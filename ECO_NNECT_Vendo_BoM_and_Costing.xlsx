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_IO\Plastic-Bottle-Vending-Machine\"/>
    </mc:Choice>
  </mc:AlternateContent>
  <xr:revisionPtr revIDLastSave="0" documentId="13_ncr:1_{2979A98B-1C59-467B-B56F-30C12E04EF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ject Summary &amp; Costing" sheetId="1" r:id="rId1"/>
    <sheet name="Bill of Materials (BoM)" sheetId="2" r:id="rId2"/>
    <sheet name="Labor Breakdown (WBS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D17" i="3"/>
  <c r="D16" i="3"/>
  <c r="D15" i="3"/>
  <c r="D14" i="3"/>
  <c r="D10" i="3"/>
  <c r="F9" i="3"/>
  <c r="F8" i="3"/>
  <c r="F7" i="3"/>
  <c r="F6" i="3"/>
  <c r="F5" i="3"/>
  <c r="F10" i="3" s="1"/>
  <c r="K40" i="2"/>
  <c r="J40" i="2"/>
  <c r="J39" i="2"/>
  <c r="K39" i="2" s="1"/>
  <c r="K38" i="2"/>
  <c r="J38" i="2"/>
  <c r="J37" i="2"/>
  <c r="K37" i="2" s="1"/>
  <c r="J36" i="2"/>
  <c r="K36" i="2" s="1"/>
  <c r="K41" i="2" s="1"/>
  <c r="J33" i="2"/>
  <c r="K33" i="2" s="1"/>
  <c r="J32" i="2"/>
  <c r="K32" i="2" s="1"/>
  <c r="J31" i="2"/>
  <c r="K31" i="2" s="1"/>
  <c r="J30" i="2"/>
  <c r="K30" i="2" s="1"/>
  <c r="J29" i="2"/>
  <c r="K29" i="2" s="1"/>
  <c r="K34" i="2" s="1"/>
  <c r="K25" i="2"/>
  <c r="J25" i="2"/>
  <c r="K23" i="2"/>
  <c r="J23" i="2"/>
  <c r="J22" i="2"/>
  <c r="K22" i="2" s="1"/>
  <c r="K19" i="2"/>
  <c r="J19" i="2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K10" i="2"/>
  <c r="J10" i="2"/>
  <c r="J9" i="2"/>
  <c r="K9" i="2" s="1"/>
  <c r="K8" i="2"/>
  <c r="J8" i="2"/>
  <c r="J7" i="2"/>
  <c r="K7" i="2" s="1"/>
  <c r="J6" i="2"/>
  <c r="K6" i="2" s="1"/>
  <c r="F14" i="1"/>
  <c r="K11" i="2" l="1"/>
  <c r="E11" i="1" s="1"/>
  <c r="E16" i="1"/>
  <c r="E15" i="1"/>
  <c r="K20" i="2"/>
  <c r="K27" i="2"/>
  <c r="E13" i="1" l="1"/>
  <c r="E12" i="1"/>
  <c r="K42" i="2"/>
  <c r="E18" i="1" l="1"/>
  <c r="C24" i="1"/>
  <c r="C23" i="1"/>
  <c r="C22" i="1"/>
  <c r="F17" i="1"/>
  <c r="F16" i="1"/>
  <c r="F11" i="1"/>
  <c r="F15" i="1"/>
  <c r="F13" i="1"/>
  <c r="F12" i="1"/>
  <c r="F18" i="1" l="1"/>
</calcChain>
</file>

<file path=xl/sharedStrings.xml><?xml version="1.0" encoding="utf-8"?>
<sst xmlns="http://schemas.openxmlformats.org/spreadsheetml/2006/main" count="327" uniqueCount="303">
  <si>
    <t>ECO-NNECT PLASTIC BOTTLE-TO-WIFI VENDO SYSTEM</t>
  </si>
  <si>
    <t>Turnkey Project Costing, Bill of Materials (BoM) &amp; Professional Engineering Quotation</t>
  </si>
  <si>
    <t>Project Standard:</t>
  </si>
  <si>
    <t>ECO-NNECT Bottle-to-WiFi Reverse Vending System</t>
  </si>
  <si>
    <t>Builder Scope:</t>
  </si>
  <si>
    <t>Firmware, Electronics Assembly, PCA9685 Driver, PVC Chute &amp; Portal</t>
  </si>
  <si>
    <t>Developer / Builder:</t>
  </si>
  <si>
    <t>Electrical Engineer &amp; IoT Project Builder</t>
  </si>
  <si>
    <t>Professional Rate:</t>
  </si>
  <si>
    <t>₱500.00 / hour (Senior Electrical &amp; IoT Engineering Rate)</t>
  </si>
  <si>
    <t>Date Prepared:</t>
  </si>
  <si>
    <t>August 2026</t>
  </si>
  <si>
    <t>Cabinet Scope:</t>
  </si>
  <si>
    <t>Client-Supplied / Excluded (Builder provides dimensional cutout guide)</t>
  </si>
  <si>
    <t>Sensing &amp; Actuation:</t>
  </si>
  <si>
    <t>4" PVC Drop Chute + Optical IR + LJ12A3 + PCA9685 Driver</t>
  </si>
  <si>
    <t>Core Gateway:</t>
  </si>
  <si>
    <t>Orange Pi One (Allwinner H3 512MB) + Armbian Server</t>
  </si>
  <si>
    <t>1. EXECUTIVE COST BREAKDOWN (BUILDER SCOPE OF WORK)</t>
  </si>
  <si>
    <t>Category No.</t>
  </si>
  <si>
    <t>Cost Category Description</t>
  </si>
  <si>
    <t>Key Scope / Components Included</t>
  </si>
  <si>
    <t>Scope Owner</t>
  </si>
  <si>
    <t>Amount (PHP)</t>
  </si>
  <si>
    <t>% Share</t>
  </si>
  <si>
    <t>Notes / References</t>
  </si>
  <si>
    <t>Group A</t>
  </si>
  <si>
    <t>Computing, Storage &amp; Networking</t>
  </si>
  <si>
    <t>Orange Pi One (512MB), ESP32 DevKit, MicroSD 32GB, TP-Link Outdoor AP</t>
  </si>
  <si>
    <t>Builder Scope</t>
  </si>
  <si>
    <t>Proven Piso-WiFi Linux gateway &amp; real-time sensor controller</t>
  </si>
  <si>
    <t>Group B</t>
  </si>
  <si>
    <t>Sensing, Chute &amp; PCA9685 Driver</t>
  </si>
  <si>
    <t>4" PVC Drop Pipe, E18-D80NK IR, LJ12A3 Metal Lockout, PCA9685 I2C Driver, MG996R Servo, LCD</t>
  </si>
  <si>
    <t>Rigid PVC drop pathway, optical counter, PCA9685 servo driver &amp; LCD</t>
  </si>
  <si>
    <t>Group C</t>
  </si>
  <si>
    <t>Power Supply, Regulation &amp; Safety</t>
  </si>
  <si>
    <t>12V 5A (60W) SMPS, XL4015 5A Buck (5.1V logic rail), C14 Fused Inlet, 80mm Fan</t>
  </si>
  <si>
    <t>Clean regulated power, master fuse switch &amp; cooling</t>
  </si>
  <si>
    <t>Group D</t>
  </si>
  <si>
    <t>Cabinet, Enclosure &amp; Woodwork</t>
  </si>
  <si>
    <t>Marine Plywood, Formica, Laser-cut Acrylic Hopper, Cam Locks, Hinges, Decals</t>
  </si>
  <si>
    <t>CLIENT SCOPE (EXCLUDED)</t>
  </si>
  <si>
    <t>Client will build; Builder provides dimensions &amp; fitment guide</t>
  </si>
  <si>
    <t>Group E</t>
  </si>
  <si>
    <t>Fasteners, Shield &amp; Wiring Loom</t>
  </si>
  <si>
    <t>ESP32 screw terminal shield, silicone wiring, brass standoffs, heatshrink, Cat6 UTP</t>
  </si>
  <si>
    <t>Vibration-proof terminal connections &amp; cabling</t>
  </si>
  <si>
    <t>Labor</t>
  </si>
  <si>
    <t>Professional Engineering &amp; Assembly Labor</t>
  </si>
  <si>
    <t>46 Hours (Schematics, PCA9685 I2C, Firmware, Linux Gateway, Eco-nnect Portal, QA)</t>
  </si>
  <si>
    <t>Licensed Electrical Engineer rate @ ₱500.00/hour</t>
  </si>
  <si>
    <t>Contingency</t>
  </si>
  <si>
    <t>Electronics &amp; Sourcing Contingency</t>
  </si>
  <si>
    <t>Extra solder, test calibration bottles, spare connectors, shipping buffer (approx 5%)</t>
  </si>
  <si>
    <t>Safety buffer for electronic components &amp; shipping variance</t>
  </si>
  <si>
    <t>TOTAL</t>
  </si>
  <si>
    <t>TOTAL CONTRACT COST (BUILDER SCOPE)</t>
  </si>
  <si>
    <t>Electronics + PCA9685 + PVC Chute + Firmware + Gateway + Eco-nnect Portal + Labor (@ ₱500/hr)</t>
  </si>
  <si>
    <t>Turnkey Scope</t>
  </si>
  <si>
    <t>Ready for integration into client-built cabinet</t>
  </si>
  <si>
    <t>2. CONTRACT QUOTATION PACKAGES (FOR CLIENT PROPOSAL)</t>
  </si>
  <si>
    <t>Option</t>
  </si>
  <si>
    <t>Contract Model</t>
  </si>
  <si>
    <t>Quoted Price (PHP)</t>
  </si>
  <si>
    <t>Builder Earnings</t>
  </si>
  <si>
    <t>Builder Deliverables &amp; Support</t>
  </si>
  <si>
    <t>Client Responsibility</t>
  </si>
  <si>
    <t>Recommendation</t>
  </si>
  <si>
    <t>Tier 1</t>
  </si>
  <si>
    <t>Direct Build (At-Cost Electronics + Labor @ ₱500/hr)</t>
  </si>
  <si>
    <t>₱23,000.00 (Labor Only)</t>
  </si>
  <si>
    <t>Tested electronics chassis, PCA9685 driver, pre-drilled PVC chute, Eco-nnect portal, wiring loom</t>
  </si>
  <si>
    <t>Builds cabinet, supplies enclosure &amp; mounts electronics</t>
  </si>
  <si>
    <t>Best for transparent / direct contract</t>
  </si>
  <si>
    <t>Tier 2</t>
  </si>
  <si>
    <t>Standard Turnkey Contract (+15% Sourcing Buffer)</t>
  </si>
  <si>
    <t>₱23,000.00 Labor + ₱1,086.00 Parts Buffer</t>
  </si>
  <si>
    <t>Pre-tested harness, PCA9685 board, PVC chute assembly, dimensional schematics, 1-month firmware support</t>
  </si>
  <si>
    <t>Builds cabinet according to provided cutout drawing</t>
  </si>
  <si>
    <t>(Recommended) Standard Commercial Contract</t>
  </si>
  <si>
    <t>Tier 3</t>
  </si>
  <si>
    <t>Turnkey Package with On-site Setup &amp; 3-Mo SLA</t>
  </si>
  <si>
    <t>₱23,000.00 Labor + ₱5,500.00 SLA &amp; Setup Profit</t>
  </si>
  <si>
    <t>Full electronics package, PCA9685 driver, PVC chute, on-site setup assistance, staff training, 3-month SLA warranty</t>
  </si>
  <si>
    <t>Builds cabinet &amp; handles physical installation</t>
  </si>
  <si>
    <t>Best for SK Councils, LGUs &amp; Institutions</t>
  </si>
  <si>
    <t>ECO-NNECT VENDO - ITEMIZED BILL OF MATERIALS (BOM)</t>
  </si>
  <si>
    <t>Hardware Architecture with PCA9685 I2C Servo Driver &amp; Shopee / Lazada Philippine Market Pricing</t>
  </si>
  <si>
    <t>Item Code</t>
  </si>
  <si>
    <t>Category</t>
  </si>
  <si>
    <t>Component / Part Name</t>
  </si>
  <si>
    <t>Model / Spec</t>
  </si>
  <si>
    <t>Qty</t>
  </si>
  <si>
    <t>Unit</t>
  </si>
  <si>
    <t>Engineering Purpose &amp; Function</t>
  </si>
  <si>
    <t>Base Price (₱)</t>
  </si>
  <si>
    <t>Shipping / Buffer (₱)</t>
  </si>
  <si>
    <t>Final Unit Price (₱)</t>
  </si>
  <si>
    <t>Subtotal (₱)</t>
  </si>
  <si>
    <t>GROUP A: COMPUTING, STORAGE &amp; NETWORKING (BUILDER SCOPE)</t>
  </si>
  <si>
    <t>A1</t>
  </si>
  <si>
    <t>Computing</t>
  </si>
  <si>
    <t>Orange Pi One (512MB RAM)</t>
  </si>
  <si>
    <t>Allwinner H3 Quad-Core Cortex-A7</t>
  </si>
  <si>
    <t>pc</t>
  </si>
  <si>
    <t>Linux gateway, Eco-nnect Flask captive portal, SQLite, iptables</t>
  </si>
  <si>
    <t>A2</t>
  </si>
  <si>
    <t>Microcontroller</t>
  </si>
  <si>
    <t>ESP32 DevKit V1</t>
  </si>
  <si>
    <t>Dual-Core Xtensa LX6 240MHz (30/38 Pin)</t>
  </si>
  <si>
    <t>Real-time optical drop pulse counting, I2C master &amp; LCD driver</t>
  </si>
  <si>
    <t>A3</t>
  </si>
  <si>
    <t>Storage</t>
  </si>
  <si>
    <t>MicroSD Card 32GB Class 10</t>
  </si>
  <si>
    <t>SanDisk Ultra A1 98MB/s High Endurance</t>
  </si>
  <si>
    <t>Armbian OS root filesystem, session database, log storage</t>
  </si>
  <si>
    <t>A4</t>
  </si>
  <si>
    <t>Networking</t>
  </si>
  <si>
    <t>Outdoor High-Power AP</t>
  </si>
  <si>
    <t>TP-Link CPE220 / EAP110-Outdoor 2.4GHz</t>
  </si>
  <si>
    <t>unit</t>
  </si>
  <si>
    <t>Long-range Wi-Fi broadcasting for Eco-nnect hotspot clients</t>
  </si>
  <si>
    <t>A5</t>
  </si>
  <si>
    <t>Connectivity</t>
  </si>
  <si>
    <t>Short USB Data Cable</t>
  </si>
  <si>
    <t>USB-A to Type-C / Micro-B 0.3m shielded</t>
  </si>
  <si>
    <t>Serial UART link between Orange Pi &amp; ESP32 (115200 baud)</t>
  </si>
  <si>
    <t>SUBTOTAL GROUP A [BUILDER SCOPE]</t>
  </si>
  <si>
    <t>GROUP B: SENSING, CHUTE &amp; PCA9685 DRIVER (BUILDER SCOPE)</t>
  </si>
  <si>
    <t>B1</t>
  </si>
  <si>
    <t>Drop Chute</t>
  </si>
  <si>
    <t>4" (100mm) PVC Pipe &amp; 45° Elbow</t>
  </si>
  <si>
    <t>Series 1000 PVC pipe (~1m) + 45° elbow fitting</t>
  </si>
  <si>
    <t>set</t>
  </si>
  <si>
    <t>Rigid, smooth drop pathway for PET bottles; pre-drilled for sensors</t>
  </si>
  <si>
    <t>B2</t>
  </si>
  <si>
    <t>Optical IR</t>
  </si>
  <si>
    <t>E18-D80NK Adjustable IR Sensor</t>
  </si>
  <si>
    <t>NPN NO 3-80cm Diffuse Optical Beam</t>
  </si>
  <si>
    <t>pcs</t>
  </si>
  <si>
    <t>Chute entrance &amp; drop beam counter (fast 2ms response)</t>
  </si>
  <si>
    <t>B3</t>
  </si>
  <si>
    <t>Inductive</t>
  </si>
  <si>
    <t>LJ12A3-4-Z/BX Metal Sensor</t>
  </si>
  <si>
    <t>Inductive Proximity 4mm NPN NO (6-36V)</t>
  </si>
  <si>
    <t>Mounted on PVC chute to detect &amp; lockout tin/metal cans</t>
  </si>
  <si>
    <t>B4</t>
  </si>
  <si>
    <t>Servo Driver</t>
  </si>
  <si>
    <t>PCA9685 16-Channel PWM Driver</t>
  </si>
  <si>
    <t>12-bit I2C PWM driver with power terminal &amp; capacitor</t>
  </si>
  <si>
    <t>module</t>
  </si>
  <si>
    <t>Dedicated hardware I2C servo controller; isolates servo power from ESP32</t>
  </si>
  <si>
    <t>B5</t>
  </si>
  <si>
    <t>Actuator</t>
  </si>
  <si>
    <t>MG996R Metal Gear Servo</t>
  </si>
  <si>
    <t>High-Torque 13kg.cm Digital Servo</t>
  </si>
  <si>
    <t>Driven by PCA9685 to open/close entrance security trapdoor</t>
  </si>
  <si>
    <t>B6</t>
  </si>
  <si>
    <t>Display</t>
  </si>
  <si>
    <t>20x4 Character LCD + I2C</t>
  </si>
  <si>
    <t>HD44780 with PCF8574 I2C adapter backpack</t>
  </si>
  <si>
    <t>Primary on-screen guide (Insert Bottle / Rate / Bottles Count)</t>
  </si>
  <si>
    <t>B7</t>
  </si>
  <si>
    <t>Audio/Visual</t>
  </si>
  <si>
    <t>5V Active Buzzer &amp; LED Kit</t>
  </si>
  <si>
    <t>5V Beeper + 5mm Green/Red Status LEDs</t>
  </si>
  <si>
    <t>Beep feedback on valid drop &amp; visual status lights</t>
  </si>
  <si>
    <t>SUBTOTAL GROUP B [BUILDER SCOPE]</t>
  </si>
  <si>
    <t>GROUP C: POWER DISTRIBUTION, REGULATION &amp; SAFETY (BUILDER SCOPE)</t>
  </si>
  <si>
    <t>C1</t>
  </si>
  <si>
    <t>Main Power</t>
  </si>
  <si>
    <t>12V 5A (60W) Industrial SMPS</t>
  </si>
  <si>
    <t>Enclosed metal switching power supply</t>
  </si>
  <si>
    <t>Main AC-DC power converter for entire Eco-nnect vendo</t>
  </si>
  <si>
    <t>C2</t>
  </si>
  <si>
    <t>Buck Converter</t>
  </si>
  <si>
    <t>XL4015 5A Step-Down DC-DC</t>
  </si>
  <si>
    <t>Adjustable buck converter with heatsink</t>
  </si>
  <si>
    <t>Steps 12V down to 5.1V logic rail for Orange Pi, ESP32 &amp; PCA9685 V+</t>
  </si>
  <si>
    <t>C3</t>
  </si>
  <si>
    <t>C4</t>
  </si>
  <si>
    <t>AC Cable</t>
  </si>
  <si>
    <t>Heavy-Duty 3-Prong AC Power Cord</t>
  </si>
  <si>
    <t>1.8m 3x0.75mm² grounded plug cord</t>
  </si>
  <si>
    <t>Connects machine safely to building wall outlet</t>
  </si>
  <si>
    <t>C5</t>
  </si>
  <si>
    <t>SUBTOTAL GROUP C [BUILDER SCOPE]</t>
  </si>
  <si>
    <t>GROUP D: CABINET, ENCLOSURE &amp; FABRICATION [CLIENT SCOPE - REFERENCE ONLY]</t>
  </si>
  <si>
    <t>D1</t>
  </si>
  <si>
    <t>Structure</t>
  </si>
  <si>
    <t>Marine Plywood Cabinet + Formica</t>
  </si>
  <si>
    <t>1/2" or 3/4" marine plywood with laminate</t>
  </si>
  <si>
    <t>[CLIENT-BUILT] Weather-resistant structural wooden housing</t>
  </si>
  <si>
    <t>D2</t>
  </si>
  <si>
    <t>Faceplate</t>
  </si>
  <si>
    <t>Laser-Cut Acrylic Bezel &amp; Hopper</t>
  </si>
  <si>
    <t>3mm-5mm clear &amp; tinted acrylic panels</t>
  </si>
  <si>
    <t>[CLIENT-BUILT] Display viewing window and intake hopper</t>
  </si>
  <si>
    <t>D3</t>
  </si>
  <si>
    <t>Locks</t>
  </si>
  <si>
    <t>Heavy-Duty Cam Locks with Keys</t>
  </si>
  <si>
    <t>Tubular cam locks with master keys</t>
  </si>
  <si>
    <t>sets</t>
  </si>
  <si>
    <t>[CLIENT-BUILT] Secures maintenance door and bottle collection bin</t>
  </si>
  <si>
    <t>D4</t>
  </si>
  <si>
    <t>Hardware</t>
  </si>
  <si>
    <t>Stainless Steel Piano Hinges</t>
  </si>
  <si>
    <t>Continuous corrosion-proof door hinges</t>
  </si>
  <si>
    <t>[CLIENT-BUILT] Heavy-duty door hinge mounting</t>
  </si>
  <si>
    <t>D5</t>
  </si>
  <si>
    <t>Branding</t>
  </si>
  <si>
    <t>Outdoor Vinyl Sticker Decal Wrap</t>
  </si>
  <si>
    <t>Laminated waterproof UV-resistant print</t>
  </si>
  <si>
    <t>[CLIENT-BUILT] Eco-nnect WiFi Vendo instructions &amp; graphic branding</t>
  </si>
  <si>
    <t>SUBTOTAL GROUP D [CLIENT ESTIMATE ONLY]</t>
  </si>
  <si>
    <t>GROUP E: FASTENERS, SHIELD &amp; WIRING LOOM (BUILDER SCOPE)</t>
  </si>
  <si>
    <t>E1</t>
  </si>
  <si>
    <t>PCB Shield</t>
  </si>
  <si>
    <t>ESP32 Terminal Shield Breakout</t>
  </si>
  <si>
    <t>Screw terminal breakout PCB for ESP32</t>
  </si>
  <si>
    <t>Vibration-proof screw connections for all sensor wires</t>
  </si>
  <si>
    <t>E2</t>
  </si>
  <si>
    <t>M3/M4 Brass Standoffs, Screws &amp; Nuts</t>
  </si>
  <si>
    <t>Stainless steel &amp; brass fastener kit</t>
  </si>
  <si>
    <t>box</t>
  </si>
  <si>
    <t>Rigid mounting for PCBs, buck converters, and sensors</t>
  </si>
  <si>
    <t>E3</t>
  </si>
  <si>
    <t>Wiring</t>
  </si>
  <si>
    <t>22AWG/18AWG Silicone Wire &amp; Lugs</t>
  </si>
  <si>
    <t>Flexible heat-resistant multi-strand wire</t>
  </si>
  <si>
    <t>Internal high-reliability power and signal wiring loom</t>
  </si>
  <si>
    <t>E4</t>
  </si>
  <si>
    <t>Cable Org</t>
  </si>
  <si>
    <t>Heatshrink, Cable Ties &amp; Spiral Wrap</t>
  </si>
  <si>
    <t>Polyolefin heatshrink &amp; nylon cable ties</t>
  </si>
  <si>
    <t>Strain relief, insulation and clean cable management</t>
  </si>
  <si>
    <t>E5</t>
  </si>
  <si>
    <t>Network Cable</t>
  </si>
  <si>
    <t>Cat6 Outdoor UTP Patch Cable</t>
  </si>
  <si>
    <t>5-meter weather-shielded RJ45 cable</t>
  </si>
  <si>
    <t>PoE link from Orange Pi to outdoor access point</t>
  </si>
  <si>
    <t>SUBTOTAL GROUP E [BUILDER SCOPE]</t>
  </si>
  <si>
    <t>TOTAL BUILDER ELECTRONICS &amp; HARDWARE SCOPE (GROUPS A, B, C, E)</t>
  </si>
  <si>
    <t>ENGINEERING LABOR BREAKDOWN &amp; WORK BREAKDOWN STRUCTURE (WBS)</t>
  </si>
  <si>
    <t>Electrical Engineering, Circuit Design, Firmware &amp; Eco-nnect Portal Integration (Rate: ₱500.00 / hour)</t>
  </si>
  <si>
    <t>Phase No.</t>
  </si>
  <si>
    <t>Engineering Phase / Milestone</t>
  </si>
  <si>
    <t>Detailed Tasks, Sub-deliverables &amp; Scope</t>
  </si>
  <si>
    <t>Est. Hours</t>
  </si>
  <si>
    <t>Hourly Rate (PHP)</t>
  </si>
  <si>
    <t>Phase Cost (PHP)</t>
  </si>
  <si>
    <t>Primary Discipline</t>
  </si>
  <si>
    <t>Phase 1</t>
  </si>
  <si>
    <t>Electrical Architecture &amp; Power Rail Setup</t>
  </si>
  <si>
    <t>• Circuit schematic design, pinout mapping &amp; fuse protection calculations
• Tuning XL4015 buck converter (5.1V logic rail for Orange Pi One, ESP32 &amp; PCA9685)
• Designing voltage divider for LJ12A3 inductive sensor (12V to 3.3V GPIO level shift)
• Assembling AC C14 inlet socket with 10A fuse &amp; master rocker switch</t>
  </si>
  <si>
    <t>Electrical Engineering</t>
  </si>
  <si>
    <t>Phase 2</t>
  </si>
  <si>
    <t>PVC Drop Pathway, PCA9685 Driver &amp; Electronics Sub-Assembly</t>
  </si>
  <si>
    <t>• Assembling &amp; pre-drilling 4" PVC drop pipe &amp; 45° elbow for sensor mounts
• Mounting &amp; wiring PCA9685 16-channel I2C PWM driver board with dedicated V+ terminal
• Rigidly fitting E18-D80NK optical beam sensors and LJ12A3 inductive sensor into PVC chute
• Assembling electronics chassis plate, terminal blocks &amp; buck converters</t>
  </si>
  <si>
    <t>Electrical &amp; Mechatronics Consulting</t>
  </si>
  <si>
    <t>Phase 3</t>
  </si>
  <si>
    <t>ESP32 FreeRTOS Embedded Firmware Development</t>
  </si>
  <si>
    <t>• Implementing high-speed ISR optical beam-break drop detection
• Developing I2C PCA9685 servo control routines (0° to 90° smooth trapdoor sweep)
• 30-second deposit session state machine, debouncing &amp; tin can lockout logic
• Implementing JSON UART serialization protocol to stream telemetry to Orange Pi</t>
  </si>
  <si>
    <t>Firmware / Embedded C++</t>
  </si>
  <si>
    <t>Phase 4</t>
  </si>
  <si>
    <t>Orange Pi Armbian &amp; Eco-nnect Portal Engine</t>
  </si>
  <si>
    <t>• Flashing Armbian Linux on Orange Pi One &amp; configuring systemd service daemons
• Deploying branded Eco-nnect Flask captive portal with live bottle deposit modal
• Setting up dynamic ipset &amp; iptables firewall rules for time-based access
• Implementing SQLite bottle statistics tracking and anti-tethering (TTL=64) rules</t>
  </si>
  <si>
    <t>Linux / Network Software</t>
  </si>
  <si>
    <t>Phase 5</t>
  </si>
  <si>
    <t>System Integration, Anti-Cheat Testing &amp; QA</t>
  </si>
  <si>
    <t>• Full bottle drop testing down the 4" PVC chute and drop counter accuracy verification
• Anti-cheat testing (verifying rapid drops, metal can rejection &amp; string pull defense)
• 24-hour continuous burn-in load test and Wi-Fi throughput validation
• Builder documentation, wiring diagram handoff, and client briefing</t>
  </si>
  <si>
    <t>QA &amp; Systems Engineering</t>
  </si>
  <si>
    <t>TOTAL ESTIMATED ENGINEERING &amp; ASSEMBLY LABOR (BUILDER SCOPE)</t>
  </si>
  <si>
    <t>Rate @ ₱500/hr</t>
  </si>
  <si>
    <t>EE &amp; Firmware Scope</t>
  </si>
  <si>
    <t>MARKET RATE BENCHMARKING (PHILIPPINE ENGINEERING LABOR)</t>
  </si>
  <si>
    <t>Labor Tier</t>
  </si>
  <si>
    <t>Experience / Skill Profile</t>
  </si>
  <si>
    <t>Est. Project Labor (46h)</t>
  </si>
  <si>
    <t>Market Assessment</t>
  </si>
  <si>
    <t>Target Applicability</t>
  </si>
  <si>
    <t>Tier 1: General Assembler</t>
  </si>
  <si>
    <t>Basic wiring, screw tightening, physical assembly</t>
  </si>
  <si>
    <t>Entry-level / Apprentice rate</t>
  </si>
  <si>
    <t>Component assembly helper</t>
  </si>
  <si>
    <t>Tier 2: Electronics Technician</t>
  </si>
  <si>
    <t>PCB soldering, harness wiring, component testing</t>
  </si>
  <si>
    <t>Mid-level technician rate</t>
  </si>
  <si>
    <t>Electronics wiring technician</t>
  </si>
  <si>
    <t>Tier 3: Budget Engineering Rate</t>
  </si>
  <si>
    <t>Junior engineer / Discounted freelance rate</t>
  </si>
  <si>
    <t>Budget client-friendly rate</t>
  </si>
  <si>
    <t>Discounted partner projects</t>
  </si>
  <si>
    <t>Tier 4: Standard Freelance EE</t>
  </si>
  <si>
    <t>Licensed EE, standard embedded &amp; circuit design</t>
  </si>
  <si>
    <t>Standard professional engineering rate</t>
  </si>
  <si>
    <t>Commercial client contracts</t>
  </si>
  <si>
    <t>Tier 5: Your Professional Rate</t>
  </si>
  <si>
    <t>Senior EE, FreeRTOS Firmware, Linux Gateway, Full-Stack IoT</t>
  </si>
  <si>
    <t>(Recommended) Senior Engineering &amp; Turnkey IoT Specialist</t>
  </si>
  <si>
    <t>LGU, SK, Commercial &amp; Turnkey Contracts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</si>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</sst>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₱#,##0.0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b/>
      <sz val="9"/>
      <color rgb="FF92400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7D32"/>
        <bgColor rgb="FF2E7D32"/>
      </patternFill>
    </fill>
    <fill>
      <patternFill patternType="solid">
        <fgColor rgb="FF2D3748"/>
        <bgColor rgb="FF2D3748"/>
      </patternFill>
    </fill>
    <fill>
      <patternFill patternType="solid">
        <fgColor rgb="FFFEF3C7"/>
        <bgColor rgb="FFFEF3C7"/>
      </patternFill>
    </fill>
    <fill>
      <patternFill patternType="solid">
        <fgColor rgb="FF0D5C75"/>
        <bgColor rgb="FF0D5C75"/>
      </patternFill>
    </fill>
    <fill>
      <patternFill patternType="solid">
        <fgColor rgb="FFDCFCE7"/>
        <bgColor rgb="FFDCFCE7"/>
      </patternFill>
    </fill>
    <fill>
      <patternFill patternType="solid">
        <fgColor rgb="FFF4FBF7"/>
        <bgColor rgb="FFF4FBF7"/>
      </patternFill>
    </fill>
    <fill>
      <patternFill patternType="solid">
        <fgColor rgb="FFD97706"/>
        <bgColor rgb="FFD97706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A202C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A202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3" fillId="8" borderId="3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0" fillId="2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3" xfId="0" applyFont="1" applyFill="1" applyBorder="1" applyAlignment="1">
      <alignment horizontal="right" vertical="center"/>
    </xf>
    <xf numFmtId="0" fontId="0" fillId="8" borderId="3" xfId="0" applyFill="1" applyBorder="1"/>
    <xf numFmtId="0" fontId="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0" fillId="5" borderId="3" xfId="0" applyFill="1" applyBorder="1"/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G13" sqref="G13"/>
    </sheetView>
  </sheetViews>
  <sheetFormatPr defaultRowHeight="15" x14ac:dyDescent="0.25"/>
  <cols>
    <col min="1" max="1" width="16" customWidth="1"/>
    <col min="2" max="2" width="44" customWidth="1"/>
    <col min="3" max="3" width="52" customWidth="1"/>
    <col min="4" max="4" width="26" customWidth="1"/>
    <col min="5" max="5" width="38.140625" customWidth="1"/>
    <col min="6" max="6" width="27.42578125" customWidth="1"/>
    <col min="7" max="7" width="45.7109375" customWidth="1"/>
  </cols>
  <sheetData>
    <row r="1" spans="1:7" ht="32.1" customHeight="1" x14ac:dyDescent="0.25">
      <c r="A1" s="37" t="s">
        <v>0</v>
      </c>
      <c r="B1" s="38"/>
      <c r="C1" s="38"/>
      <c r="D1" s="38"/>
      <c r="E1" s="38"/>
      <c r="F1" s="38"/>
      <c r="G1" s="38"/>
    </row>
    <row r="2" spans="1:7" ht="21.95" customHeight="1" x14ac:dyDescent="0.25">
      <c r="A2" s="41" t="s">
        <v>1</v>
      </c>
      <c r="B2" s="38"/>
      <c r="C2" s="38"/>
      <c r="D2" s="38"/>
      <c r="E2" s="38"/>
      <c r="F2" s="38"/>
      <c r="G2" s="38"/>
    </row>
    <row r="4" spans="1:7" ht="20.100000000000001" customHeight="1" x14ac:dyDescent="0.25">
      <c r="A4" s="1" t="s">
        <v>2</v>
      </c>
      <c r="B4" s="48" t="s">
        <v>3</v>
      </c>
      <c r="C4" s="38"/>
      <c r="D4" s="38"/>
      <c r="E4" s="1" t="s">
        <v>4</v>
      </c>
      <c r="F4" s="46" t="s">
        <v>5</v>
      </c>
      <c r="G4" s="47"/>
    </row>
    <row r="5" spans="1:7" ht="20.100000000000001" customHeight="1" x14ac:dyDescent="0.25">
      <c r="A5" s="1" t="s">
        <v>6</v>
      </c>
      <c r="B5" s="48" t="s">
        <v>7</v>
      </c>
      <c r="C5" s="38"/>
      <c r="D5" s="38"/>
      <c r="E5" s="1" t="s">
        <v>8</v>
      </c>
      <c r="F5" s="46" t="s">
        <v>9</v>
      </c>
      <c r="G5" s="47"/>
    </row>
    <row r="6" spans="1:7" ht="20.100000000000001" customHeight="1" x14ac:dyDescent="0.25">
      <c r="A6" s="1" t="s">
        <v>10</v>
      </c>
      <c r="B6" s="48" t="s">
        <v>11</v>
      </c>
      <c r="C6" s="38"/>
      <c r="D6" s="38"/>
      <c r="E6" s="1" t="s">
        <v>12</v>
      </c>
      <c r="F6" s="46" t="s">
        <v>13</v>
      </c>
      <c r="G6" s="47"/>
    </row>
    <row r="7" spans="1:7" ht="20.100000000000001" customHeight="1" x14ac:dyDescent="0.25">
      <c r="A7" s="1" t="s">
        <v>14</v>
      </c>
      <c r="B7" s="48" t="s">
        <v>15</v>
      </c>
      <c r="C7" s="38"/>
      <c r="D7" s="38"/>
      <c r="E7" s="1" t="s">
        <v>16</v>
      </c>
      <c r="F7" s="46" t="s">
        <v>17</v>
      </c>
      <c r="G7" s="47"/>
    </row>
    <row r="9" spans="1:7" ht="26.1" customHeight="1" x14ac:dyDescent="0.25">
      <c r="A9" s="45" t="s">
        <v>18</v>
      </c>
      <c r="B9" s="38"/>
      <c r="C9" s="38"/>
      <c r="D9" s="38"/>
      <c r="E9" s="38"/>
      <c r="F9" s="38"/>
      <c r="G9" s="38"/>
    </row>
    <row r="10" spans="1:7" ht="24" customHeight="1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</row>
    <row r="11" spans="1:7" ht="28.5" x14ac:dyDescent="0.25">
      <c r="A11" s="3" t="s">
        <v>26</v>
      </c>
      <c r="B11" s="4" t="s">
        <v>27</v>
      </c>
      <c r="C11" s="16" t="s">
        <v>28</v>
      </c>
      <c r="D11" s="3" t="s">
        <v>29</v>
      </c>
      <c r="E11" s="5">
        <f>'Bill of Materials (BoM)'!K11</f>
        <v>5085</v>
      </c>
      <c r="F11" s="6">
        <f>'Bill of Materials (BoM)'!K11/$E$18</f>
        <v>0.15576657987440651</v>
      </c>
      <c r="G11" s="16" t="s">
        <v>30</v>
      </c>
    </row>
    <row r="12" spans="1:7" ht="28.5" x14ac:dyDescent="0.25">
      <c r="A12" s="3" t="s">
        <v>31</v>
      </c>
      <c r="B12" s="4" t="s">
        <v>32</v>
      </c>
      <c r="C12" s="16" t="s">
        <v>33</v>
      </c>
      <c r="D12" s="3" t="s">
        <v>29</v>
      </c>
      <c r="E12" s="5">
        <f>'Bill of Materials (BoM)'!K20</f>
        <v>2485</v>
      </c>
      <c r="F12" s="6">
        <f>'Bill of Materials (BoM)'!K20/$E$18</f>
        <v>7.6121917598407113E-2</v>
      </c>
      <c r="G12" s="16" t="s">
        <v>34</v>
      </c>
    </row>
    <row r="13" spans="1:7" ht="28.5" x14ac:dyDescent="0.25">
      <c r="A13" s="3" t="s">
        <v>35</v>
      </c>
      <c r="B13" s="4" t="s">
        <v>36</v>
      </c>
      <c r="C13" s="16" t="s">
        <v>37</v>
      </c>
      <c r="D13" s="3" t="s">
        <v>29</v>
      </c>
      <c r="E13" s="5">
        <f>'Bill of Materials (BoM)'!K27</f>
        <v>770</v>
      </c>
      <c r="F13" s="6">
        <f>'Bill of Materials (BoM)'!K27/$E$18</f>
        <v>2.3587073058661357E-2</v>
      </c>
      <c r="G13" s="16" t="s">
        <v>38</v>
      </c>
    </row>
    <row r="14" spans="1:7" ht="28.5" x14ac:dyDescent="0.25">
      <c r="A14" s="7" t="s">
        <v>39</v>
      </c>
      <c r="B14" s="8" t="s">
        <v>40</v>
      </c>
      <c r="C14" s="27" t="s">
        <v>41</v>
      </c>
      <c r="D14" s="9" t="s">
        <v>42</v>
      </c>
      <c r="E14" s="10">
        <v>0</v>
      </c>
      <c r="F14" s="11">
        <f>0</f>
        <v>0</v>
      </c>
      <c r="G14" s="27" t="s">
        <v>43</v>
      </c>
    </row>
    <row r="15" spans="1:7" ht="28.5" x14ac:dyDescent="0.25">
      <c r="A15" s="3" t="s">
        <v>44</v>
      </c>
      <c r="B15" s="4" t="s">
        <v>45</v>
      </c>
      <c r="C15" s="16" t="s">
        <v>46</v>
      </c>
      <c r="D15" s="3" t="s">
        <v>29</v>
      </c>
      <c r="E15" s="5">
        <f>'Bill of Materials (BoM)'!K41</f>
        <v>855</v>
      </c>
      <c r="F15" s="6">
        <f>'Bill of Materials (BoM)'!K41/$E$18</f>
        <v>2.6190840863838261E-2</v>
      </c>
      <c r="G15" s="16" t="s">
        <v>47</v>
      </c>
    </row>
    <row r="16" spans="1:7" ht="28.5" x14ac:dyDescent="0.25">
      <c r="A16" s="3" t="s">
        <v>48</v>
      </c>
      <c r="B16" s="4" t="s">
        <v>49</v>
      </c>
      <c r="C16" s="16" t="s">
        <v>50</v>
      </c>
      <c r="D16" s="3" t="s">
        <v>29</v>
      </c>
      <c r="E16" s="5">
        <f>'Labor Breakdown (WBS)'!F10</f>
        <v>23000</v>
      </c>
      <c r="F16" s="6">
        <f>'Labor Breakdown (WBS)'!F10/$E$18</f>
        <v>0.7045489355184561</v>
      </c>
      <c r="G16" s="16" t="s">
        <v>51</v>
      </c>
    </row>
    <row r="17" spans="1:7" ht="28.5" x14ac:dyDescent="0.25">
      <c r="A17" s="3" t="s">
        <v>52</v>
      </c>
      <c r="B17" s="4" t="s">
        <v>53</v>
      </c>
      <c r="C17" s="16" t="s">
        <v>54</v>
      </c>
      <c r="D17" s="3" t="s">
        <v>29</v>
      </c>
      <c r="E17" s="5">
        <v>450</v>
      </c>
      <c r="F17" s="6">
        <f>E17/$E$18</f>
        <v>1.3784653086230662E-2</v>
      </c>
      <c r="G17" s="16" t="s">
        <v>55</v>
      </c>
    </row>
    <row r="18" spans="1:7" ht="26.1" customHeight="1" x14ac:dyDescent="0.25">
      <c r="A18" s="12" t="s">
        <v>56</v>
      </c>
      <c r="B18" s="13" t="s">
        <v>57</v>
      </c>
      <c r="C18" s="13" t="s">
        <v>58</v>
      </c>
      <c r="D18" s="12" t="s">
        <v>59</v>
      </c>
      <c r="E18" s="14">
        <f>SUM(E11:E17)</f>
        <v>32645</v>
      </c>
      <c r="F18" s="15">
        <f>SUM(F11:F17)</f>
        <v>1</v>
      </c>
      <c r="G18" s="13" t="s">
        <v>60</v>
      </c>
    </row>
    <row r="20" spans="1:7" ht="26.1" customHeight="1" x14ac:dyDescent="0.25">
      <c r="A20" s="49" t="s">
        <v>61</v>
      </c>
      <c r="B20" s="38"/>
      <c r="C20" s="38"/>
      <c r="D20" s="38"/>
      <c r="E20" s="38"/>
      <c r="F20" s="38"/>
      <c r="G20" s="38"/>
    </row>
    <row r="21" spans="1:7" ht="24" customHeight="1" x14ac:dyDescent="0.25">
      <c r="A21" s="2" t="s">
        <v>62</v>
      </c>
      <c r="B21" s="2" t="s">
        <v>63</v>
      </c>
      <c r="C21" s="2" t="s">
        <v>64</v>
      </c>
      <c r="D21" s="2" t="s">
        <v>65</v>
      </c>
      <c r="E21" s="2" t="s">
        <v>66</v>
      </c>
      <c r="F21" s="2" t="s">
        <v>67</v>
      </c>
      <c r="G21" s="2" t="s">
        <v>68</v>
      </c>
    </row>
    <row r="22" spans="1:7" ht="42.75" x14ac:dyDescent="0.25">
      <c r="A22" s="3" t="s">
        <v>69</v>
      </c>
      <c r="B22" s="4" t="s">
        <v>70</v>
      </c>
      <c r="C22" s="5">
        <f>E18</f>
        <v>32645</v>
      </c>
      <c r="D22" s="4" t="s">
        <v>71</v>
      </c>
      <c r="E22" s="16" t="s">
        <v>72</v>
      </c>
      <c r="F22" s="16" t="s">
        <v>73</v>
      </c>
      <c r="G22" s="3" t="s">
        <v>74</v>
      </c>
    </row>
    <row r="23" spans="1:7" ht="42.75" x14ac:dyDescent="0.25">
      <c r="A23" s="17" t="s">
        <v>75</v>
      </c>
      <c r="B23" s="18" t="s">
        <v>76</v>
      </c>
      <c r="C23" s="19">
        <f>ROUND(E18+('Bill of Materials (BoM)'!K42*0.15), -2)</f>
        <v>34000</v>
      </c>
      <c r="D23" s="18" t="s">
        <v>77</v>
      </c>
      <c r="E23" s="20" t="s">
        <v>78</v>
      </c>
      <c r="F23" s="20" t="s">
        <v>79</v>
      </c>
      <c r="G23" s="17" t="s">
        <v>80</v>
      </c>
    </row>
    <row r="24" spans="1:7" ht="42.75" x14ac:dyDescent="0.25">
      <c r="A24" s="3" t="s">
        <v>81</v>
      </c>
      <c r="B24" s="4" t="s">
        <v>82</v>
      </c>
      <c r="C24" s="5">
        <f>ROUND(E18+5500, -2)</f>
        <v>38100</v>
      </c>
      <c r="D24" s="4" t="s">
        <v>83</v>
      </c>
      <c r="E24" s="16" t="s">
        <v>84</v>
      </c>
      <c r="F24" s="16" t="s">
        <v>85</v>
      </c>
      <c r="G24" s="3" t="s">
        <v>86</v>
      </c>
    </row>
  </sheetData>
  <mergeCells count="12">
    <mergeCell ref="A1:G1"/>
    <mergeCell ref="A9:G9"/>
    <mergeCell ref="F5:G5"/>
    <mergeCell ref="B4:D4"/>
    <mergeCell ref="A20:G20"/>
    <mergeCell ref="A2:G2"/>
    <mergeCell ref="F6:G6"/>
    <mergeCell ref="B7:D7"/>
    <mergeCell ref="B6:D6"/>
    <mergeCell ref="F7:G7"/>
    <mergeCell ref="F4:G4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workbookViewId="0">
      <selection activeCell="C14" sqref="C14"/>
    </sheetView>
  </sheetViews>
  <sheetFormatPr defaultRowHeight="15" x14ac:dyDescent="0.25"/>
  <cols>
    <col min="1" max="1" width="14" customWidth="1"/>
    <col min="2" max="2" width="11.7109375" customWidth="1"/>
    <col min="3" max="3" width="35" customWidth="1"/>
    <col min="4" max="4" width="44" hidden="1" customWidth="1"/>
    <col min="5" max="5" width="8" customWidth="1"/>
    <col min="6" max="6" width="10" customWidth="1"/>
    <col min="7" max="7" width="56" hidden="1" customWidth="1"/>
    <col min="8" max="8" width="16.28515625" customWidth="1"/>
    <col min="9" max="9" width="12.7109375" customWidth="1"/>
    <col min="10" max="10" width="18" customWidth="1"/>
    <col min="11" max="11" width="20" customWidth="1"/>
  </cols>
  <sheetData>
    <row r="1" spans="1:11" ht="32.1" customHeight="1" x14ac:dyDescent="0.25">
      <c r="A1" s="37" t="s">
        <v>87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1.95" customHeight="1" x14ac:dyDescent="0.25">
      <c r="A2" s="41" t="s">
        <v>88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24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  <c r="H4" s="2" t="s">
        <v>96</v>
      </c>
      <c r="I4" s="2" t="s">
        <v>97</v>
      </c>
      <c r="J4" s="2" t="s">
        <v>98</v>
      </c>
      <c r="K4" s="2" t="s">
        <v>99</v>
      </c>
    </row>
    <row r="5" spans="1:11" ht="26.1" customHeight="1" x14ac:dyDescent="0.25">
      <c r="A5" s="45" t="s">
        <v>100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24" customHeight="1" x14ac:dyDescent="0.25">
      <c r="A6" s="21" t="s">
        <v>101</v>
      </c>
      <c r="B6" s="4" t="s">
        <v>102</v>
      </c>
      <c r="C6" s="4" t="s">
        <v>103</v>
      </c>
      <c r="D6" s="4" t="s">
        <v>104</v>
      </c>
      <c r="E6" s="22">
        <v>1</v>
      </c>
      <c r="F6" s="3" t="s">
        <v>105</v>
      </c>
      <c r="G6" s="16" t="s">
        <v>106</v>
      </c>
      <c r="H6" s="23">
        <v>2200</v>
      </c>
      <c r="I6" s="23">
        <v>80</v>
      </c>
      <c r="J6" s="23">
        <f>H6+I6</f>
        <v>2280</v>
      </c>
      <c r="K6" s="5">
        <f>E6*J6</f>
        <v>2280</v>
      </c>
    </row>
    <row r="7" spans="1:11" ht="24" customHeight="1" x14ac:dyDescent="0.25">
      <c r="A7" s="21" t="s">
        <v>107</v>
      </c>
      <c r="B7" s="4" t="s">
        <v>108</v>
      </c>
      <c r="C7" s="4" t="s">
        <v>109</v>
      </c>
      <c r="D7" s="4" t="s">
        <v>110</v>
      </c>
      <c r="E7" s="22">
        <v>1</v>
      </c>
      <c r="F7" s="3" t="s">
        <v>105</v>
      </c>
      <c r="G7" s="16" t="s">
        <v>111</v>
      </c>
      <c r="H7" s="23">
        <v>385</v>
      </c>
      <c r="I7" s="23">
        <v>40</v>
      </c>
      <c r="J7" s="23">
        <f>H7+I7</f>
        <v>425</v>
      </c>
      <c r="K7" s="5">
        <f>E7*J7</f>
        <v>425</v>
      </c>
    </row>
    <row r="8" spans="1:11" ht="24" customHeight="1" x14ac:dyDescent="0.25">
      <c r="A8" s="21" t="s">
        <v>112</v>
      </c>
      <c r="B8" s="4" t="s">
        <v>113</v>
      </c>
      <c r="C8" s="4" t="s">
        <v>114</v>
      </c>
      <c r="D8" s="4" t="s">
        <v>115</v>
      </c>
      <c r="E8" s="22">
        <v>1</v>
      </c>
      <c r="F8" s="3" t="s">
        <v>105</v>
      </c>
      <c r="G8" s="16" t="s">
        <v>116</v>
      </c>
      <c r="H8" s="23">
        <v>520</v>
      </c>
      <c r="I8" s="23">
        <v>40</v>
      </c>
      <c r="J8" s="23">
        <f>H8+I8</f>
        <v>560</v>
      </c>
      <c r="K8" s="5">
        <f>E8*J8</f>
        <v>560</v>
      </c>
    </row>
    <row r="9" spans="1:11" ht="24" customHeight="1" x14ac:dyDescent="0.25">
      <c r="A9" s="21" t="s">
        <v>117</v>
      </c>
      <c r="B9" s="4" t="s">
        <v>118</v>
      </c>
      <c r="C9" s="4" t="s">
        <v>119</v>
      </c>
      <c r="D9" s="4" t="s">
        <v>120</v>
      </c>
      <c r="E9" s="22">
        <v>1</v>
      </c>
      <c r="F9" s="3" t="s">
        <v>121</v>
      </c>
      <c r="G9" s="16" t="s">
        <v>122</v>
      </c>
      <c r="H9" s="23">
        <v>1600</v>
      </c>
      <c r="I9" s="23">
        <v>120</v>
      </c>
      <c r="J9" s="23">
        <f>H9+I9</f>
        <v>1720</v>
      </c>
      <c r="K9" s="5">
        <f>E9*J9</f>
        <v>1720</v>
      </c>
    </row>
    <row r="10" spans="1:11" ht="24" customHeight="1" x14ac:dyDescent="0.25">
      <c r="A10" s="21" t="s">
        <v>123</v>
      </c>
      <c r="B10" s="4" t="s">
        <v>124</v>
      </c>
      <c r="C10" s="4" t="s">
        <v>125</v>
      </c>
      <c r="D10" s="4" t="s">
        <v>126</v>
      </c>
      <c r="E10" s="22">
        <v>1</v>
      </c>
      <c r="F10" s="3" t="s">
        <v>105</v>
      </c>
      <c r="G10" s="16" t="s">
        <v>127</v>
      </c>
      <c r="H10" s="23">
        <v>80</v>
      </c>
      <c r="I10" s="23">
        <v>20</v>
      </c>
      <c r="J10" s="23">
        <f>H10+I10</f>
        <v>100</v>
      </c>
      <c r="K10" s="5">
        <f>E10*J10</f>
        <v>100</v>
      </c>
    </row>
    <row r="11" spans="1:11" ht="24" customHeight="1" x14ac:dyDescent="0.25">
      <c r="A11" s="39" t="s">
        <v>128</v>
      </c>
      <c r="B11" s="40"/>
      <c r="C11" s="40"/>
      <c r="D11" s="40"/>
      <c r="E11" s="40"/>
      <c r="F11" s="40"/>
      <c r="G11" s="40"/>
      <c r="H11" s="40"/>
      <c r="I11" s="40"/>
      <c r="J11" s="40"/>
      <c r="K11" s="24">
        <f>SUM(K6:K10)</f>
        <v>5085</v>
      </c>
    </row>
    <row r="12" spans="1:11" ht="26.1" customHeight="1" x14ac:dyDescent="0.25">
      <c r="A12" s="45" t="s">
        <v>129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ht="24" customHeight="1" x14ac:dyDescent="0.25">
      <c r="A13" s="21" t="s">
        <v>130</v>
      </c>
      <c r="B13" s="4" t="s">
        <v>131</v>
      </c>
      <c r="C13" s="4" t="s">
        <v>132</v>
      </c>
      <c r="D13" s="4" t="s">
        <v>133</v>
      </c>
      <c r="E13" s="22">
        <v>1</v>
      </c>
      <c r="F13" s="3" t="s">
        <v>302</v>
      </c>
      <c r="G13" s="16" t="s">
        <v>135</v>
      </c>
      <c r="H13" s="23">
        <v>320</v>
      </c>
      <c r="I13" s="23">
        <v>40</v>
      </c>
      <c r="J13" s="23">
        <f t="shared" ref="J13:J19" si="0">H13+I13</f>
        <v>360</v>
      </c>
      <c r="K13" s="5">
        <f t="shared" ref="K13:K19" si="1">E13*J13</f>
        <v>360</v>
      </c>
    </row>
    <row r="14" spans="1:11" ht="24" customHeight="1" x14ac:dyDescent="0.25">
      <c r="A14" s="21" t="s">
        <v>136</v>
      </c>
      <c r="B14" s="4" t="s">
        <v>137</v>
      </c>
      <c r="C14" s="4" t="s">
        <v>138</v>
      </c>
      <c r="D14" s="4" t="s">
        <v>139</v>
      </c>
      <c r="E14" s="22">
        <v>2</v>
      </c>
      <c r="F14" s="3" t="s">
        <v>140</v>
      </c>
      <c r="G14" s="16" t="s">
        <v>141</v>
      </c>
      <c r="H14" s="23">
        <v>135</v>
      </c>
      <c r="I14" s="23">
        <v>30</v>
      </c>
      <c r="J14" s="23">
        <f t="shared" si="0"/>
        <v>165</v>
      </c>
      <c r="K14" s="5">
        <f t="shared" si="1"/>
        <v>330</v>
      </c>
    </row>
    <row r="15" spans="1:11" ht="24" customHeight="1" x14ac:dyDescent="0.25">
      <c r="A15" s="21" t="s">
        <v>142</v>
      </c>
      <c r="B15" s="4" t="s">
        <v>143</v>
      </c>
      <c r="C15" s="4" t="s">
        <v>144</v>
      </c>
      <c r="D15" s="4" t="s">
        <v>145</v>
      </c>
      <c r="E15" s="22">
        <v>1</v>
      </c>
      <c r="F15" s="3" t="s">
        <v>105</v>
      </c>
      <c r="G15" s="16" t="s">
        <v>146</v>
      </c>
      <c r="H15" s="23">
        <v>140</v>
      </c>
      <c r="I15" s="23">
        <v>30</v>
      </c>
      <c r="J15" s="23">
        <f t="shared" si="0"/>
        <v>170</v>
      </c>
      <c r="K15" s="5">
        <f t="shared" si="1"/>
        <v>170</v>
      </c>
    </row>
    <row r="16" spans="1:11" ht="24" customHeight="1" x14ac:dyDescent="0.25">
      <c r="A16" s="21" t="s">
        <v>147</v>
      </c>
      <c r="B16" s="4" t="s">
        <v>148</v>
      </c>
      <c r="C16" s="4" t="s">
        <v>149</v>
      </c>
      <c r="D16" s="4" t="s">
        <v>150</v>
      </c>
      <c r="E16" s="22">
        <v>1</v>
      </c>
      <c r="F16" s="3" t="s">
        <v>151</v>
      </c>
      <c r="G16" s="16" t="s">
        <v>152</v>
      </c>
      <c r="H16" s="23">
        <v>240</v>
      </c>
      <c r="I16" s="23">
        <v>25</v>
      </c>
      <c r="J16" s="23">
        <f t="shared" si="0"/>
        <v>265</v>
      </c>
      <c r="K16" s="5">
        <f t="shared" si="1"/>
        <v>265</v>
      </c>
    </row>
    <row r="17" spans="1:11" ht="24" customHeight="1" x14ac:dyDescent="0.25">
      <c r="A17" s="21" t="s">
        <v>153</v>
      </c>
      <c r="B17" s="4" t="s">
        <v>154</v>
      </c>
      <c r="C17" s="4" t="s">
        <v>155</v>
      </c>
      <c r="D17" s="4" t="s">
        <v>156</v>
      </c>
      <c r="E17" s="22">
        <v>3</v>
      </c>
      <c r="F17" s="3" t="s">
        <v>140</v>
      </c>
      <c r="G17" s="16" t="s">
        <v>157</v>
      </c>
      <c r="H17" s="23">
        <v>295</v>
      </c>
      <c r="I17" s="23">
        <v>40</v>
      </c>
      <c r="J17" s="23">
        <f t="shared" si="0"/>
        <v>335</v>
      </c>
      <c r="K17" s="5">
        <f t="shared" si="1"/>
        <v>1005</v>
      </c>
    </row>
    <row r="18" spans="1:11" ht="24" customHeight="1" x14ac:dyDescent="0.25">
      <c r="A18" s="21" t="s">
        <v>158</v>
      </c>
      <c r="B18" s="4" t="s">
        <v>159</v>
      </c>
      <c r="C18" s="4" t="s">
        <v>160</v>
      </c>
      <c r="D18" s="4" t="s">
        <v>161</v>
      </c>
      <c r="E18" s="22">
        <v>1</v>
      </c>
      <c r="F18" s="3" t="s">
        <v>105</v>
      </c>
      <c r="G18" s="16" t="s">
        <v>162</v>
      </c>
      <c r="H18" s="23">
        <v>220</v>
      </c>
      <c r="I18" s="23">
        <v>35</v>
      </c>
      <c r="J18" s="23">
        <f t="shared" si="0"/>
        <v>255</v>
      </c>
      <c r="K18" s="5">
        <f t="shared" si="1"/>
        <v>255</v>
      </c>
    </row>
    <row r="19" spans="1:11" ht="24" customHeight="1" x14ac:dyDescent="0.25">
      <c r="A19" s="21" t="s">
        <v>163</v>
      </c>
      <c r="B19" s="4" t="s">
        <v>164</v>
      </c>
      <c r="C19" s="4" t="s">
        <v>165</v>
      </c>
      <c r="D19" s="4" t="s">
        <v>166</v>
      </c>
      <c r="E19" s="22">
        <v>1</v>
      </c>
      <c r="F19" s="3" t="s">
        <v>134</v>
      </c>
      <c r="G19" s="16" t="s">
        <v>167</v>
      </c>
      <c r="H19" s="23">
        <v>75</v>
      </c>
      <c r="I19" s="23">
        <v>25</v>
      </c>
      <c r="J19" s="23">
        <f t="shared" si="0"/>
        <v>100</v>
      </c>
      <c r="K19" s="5">
        <f t="shared" si="1"/>
        <v>100</v>
      </c>
    </row>
    <row r="20" spans="1:11" ht="24" customHeight="1" x14ac:dyDescent="0.25">
      <c r="A20" s="39" t="s">
        <v>168</v>
      </c>
      <c r="B20" s="40"/>
      <c r="C20" s="40"/>
      <c r="D20" s="40"/>
      <c r="E20" s="40"/>
      <c r="F20" s="40"/>
      <c r="G20" s="40"/>
      <c r="H20" s="40"/>
      <c r="I20" s="40"/>
      <c r="J20" s="40"/>
      <c r="K20" s="24">
        <f>SUM(K13:K19)</f>
        <v>2485</v>
      </c>
    </row>
    <row r="21" spans="1:11" ht="26.1" customHeight="1" x14ac:dyDescent="0.25">
      <c r="A21" s="45" t="s">
        <v>169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24" customHeight="1" x14ac:dyDescent="0.25">
      <c r="A22" s="21" t="s">
        <v>170</v>
      </c>
      <c r="B22" s="4" t="s">
        <v>171</v>
      </c>
      <c r="C22" s="4" t="s">
        <v>172</v>
      </c>
      <c r="D22" s="4" t="s">
        <v>173</v>
      </c>
      <c r="E22" s="22">
        <v>1</v>
      </c>
      <c r="F22" s="3" t="s">
        <v>121</v>
      </c>
      <c r="G22" s="16" t="s">
        <v>174</v>
      </c>
      <c r="H22" s="23">
        <v>320</v>
      </c>
      <c r="I22" s="23">
        <v>50</v>
      </c>
      <c r="J22" s="23">
        <f>H22+I22</f>
        <v>370</v>
      </c>
      <c r="K22" s="5">
        <f>E22*J22</f>
        <v>370</v>
      </c>
    </row>
    <row r="23" spans="1:11" ht="24" customHeight="1" x14ac:dyDescent="0.25">
      <c r="A23" s="21" t="s">
        <v>175</v>
      </c>
      <c r="B23" s="4" t="s">
        <v>176</v>
      </c>
      <c r="C23" s="4" t="s">
        <v>177</v>
      </c>
      <c r="D23" s="4" t="s">
        <v>178</v>
      </c>
      <c r="E23" s="22">
        <v>2</v>
      </c>
      <c r="F23" s="3" t="s">
        <v>151</v>
      </c>
      <c r="G23" s="16" t="s">
        <v>179</v>
      </c>
      <c r="H23" s="23">
        <v>110</v>
      </c>
      <c r="I23" s="23">
        <v>25</v>
      </c>
      <c r="J23" s="23">
        <f>H23+I23</f>
        <v>135</v>
      </c>
      <c r="K23" s="5">
        <f>E23*J23</f>
        <v>270</v>
      </c>
    </row>
    <row r="24" spans="1:11" ht="24" customHeight="1" x14ac:dyDescent="0.25">
      <c r="A24" s="21" t="s">
        <v>180</v>
      </c>
      <c r="B24" s="4"/>
      <c r="C24" s="4"/>
      <c r="D24" s="4"/>
      <c r="E24" s="22"/>
      <c r="F24" s="3"/>
      <c r="G24" s="16"/>
      <c r="H24" s="23"/>
      <c r="I24" s="23"/>
      <c r="J24" s="23"/>
      <c r="K24" s="5"/>
    </row>
    <row r="25" spans="1:11" ht="24" customHeight="1" x14ac:dyDescent="0.25">
      <c r="A25" s="21" t="s">
        <v>181</v>
      </c>
      <c r="B25" s="4" t="s">
        <v>182</v>
      </c>
      <c r="C25" s="4" t="s">
        <v>183</v>
      </c>
      <c r="D25" s="4" t="s">
        <v>184</v>
      </c>
      <c r="E25" s="22">
        <v>1</v>
      </c>
      <c r="F25" s="3" t="s">
        <v>105</v>
      </c>
      <c r="G25" s="16" t="s">
        <v>185</v>
      </c>
      <c r="H25" s="23">
        <v>110</v>
      </c>
      <c r="I25" s="23">
        <v>20</v>
      </c>
      <c r="J25" s="23">
        <f>H25+I25</f>
        <v>130</v>
      </c>
      <c r="K25" s="5">
        <f>E25*J25</f>
        <v>130</v>
      </c>
    </row>
    <row r="26" spans="1:11" ht="24" customHeight="1" x14ac:dyDescent="0.25">
      <c r="A26" s="21" t="s">
        <v>186</v>
      </c>
      <c r="B26" s="4"/>
      <c r="C26" s="4"/>
      <c r="D26" s="4"/>
      <c r="E26" s="22"/>
      <c r="F26" s="3"/>
      <c r="G26" s="16"/>
      <c r="H26" s="23"/>
      <c r="I26" s="23"/>
      <c r="J26" s="23"/>
      <c r="K26" s="5"/>
    </row>
    <row r="27" spans="1:11" ht="24" customHeight="1" x14ac:dyDescent="0.25">
      <c r="A27" s="39" t="s">
        <v>187</v>
      </c>
      <c r="B27" s="40"/>
      <c r="C27" s="40"/>
      <c r="D27" s="40"/>
      <c r="E27" s="40"/>
      <c r="F27" s="40"/>
      <c r="G27" s="40"/>
      <c r="H27" s="40"/>
      <c r="I27" s="40"/>
      <c r="J27" s="40"/>
      <c r="K27" s="24">
        <f>SUM(K22:K26)</f>
        <v>770</v>
      </c>
    </row>
    <row r="28" spans="1:11" ht="26.1" customHeight="1" x14ac:dyDescent="0.25">
      <c r="A28" s="44" t="s">
        <v>188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24" customHeight="1" x14ac:dyDescent="0.25">
      <c r="A29" s="25" t="s">
        <v>189</v>
      </c>
      <c r="B29" s="8" t="s">
        <v>190</v>
      </c>
      <c r="C29" s="8" t="s">
        <v>191</v>
      </c>
      <c r="D29" s="8" t="s">
        <v>192</v>
      </c>
      <c r="E29" s="26">
        <v>1</v>
      </c>
      <c r="F29" s="7" t="s">
        <v>121</v>
      </c>
      <c r="G29" s="27" t="s">
        <v>193</v>
      </c>
      <c r="H29" s="28">
        <v>2400</v>
      </c>
      <c r="I29" s="28">
        <v>200</v>
      </c>
      <c r="J29" s="28">
        <f>H29+I29</f>
        <v>2600</v>
      </c>
      <c r="K29" s="10">
        <f>E29*J29</f>
        <v>2600</v>
      </c>
    </row>
    <row r="30" spans="1:11" ht="24" customHeight="1" x14ac:dyDescent="0.25">
      <c r="A30" s="25" t="s">
        <v>194</v>
      </c>
      <c r="B30" s="8" t="s">
        <v>195</v>
      </c>
      <c r="C30" s="8" t="s">
        <v>196</v>
      </c>
      <c r="D30" s="8" t="s">
        <v>197</v>
      </c>
      <c r="E30" s="26">
        <v>1</v>
      </c>
      <c r="F30" s="7" t="s">
        <v>134</v>
      </c>
      <c r="G30" s="27" t="s">
        <v>198</v>
      </c>
      <c r="H30" s="28">
        <v>950</v>
      </c>
      <c r="I30" s="28">
        <v>100</v>
      </c>
      <c r="J30" s="28">
        <f>H30+I30</f>
        <v>1050</v>
      </c>
      <c r="K30" s="10">
        <f>E30*J30</f>
        <v>1050</v>
      </c>
    </row>
    <row r="31" spans="1:11" ht="24" customHeight="1" x14ac:dyDescent="0.25">
      <c r="A31" s="25" t="s">
        <v>199</v>
      </c>
      <c r="B31" s="8" t="s">
        <v>200</v>
      </c>
      <c r="C31" s="8" t="s">
        <v>201</v>
      </c>
      <c r="D31" s="8" t="s">
        <v>202</v>
      </c>
      <c r="E31" s="26">
        <v>2</v>
      </c>
      <c r="F31" s="7" t="s">
        <v>203</v>
      </c>
      <c r="G31" s="27" t="s">
        <v>204</v>
      </c>
      <c r="H31" s="28">
        <v>120</v>
      </c>
      <c r="I31" s="28">
        <v>30</v>
      </c>
      <c r="J31" s="28">
        <f>H31+I31</f>
        <v>150</v>
      </c>
      <c r="K31" s="10">
        <f>E31*J31</f>
        <v>300</v>
      </c>
    </row>
    <row r="32" spans="1:11" ht="24" customHeight="1" x14ac:dyDescent="0.25">
      <c r="A32" s="25" t="s">
        <v>205</v>
      </c>
      <c r="B32" s="8" t="s">
        <v>206</v>
      </c>
      <c r="C32" s="8" t="s">
        <v>207</v>
      </c>
      <c r="D32" s="8" t="s">
        <v>208</v>
      </c>
      <c r="E32" s="26">
        <v>1</v>
      </c>
      <c r="F32" s="7" t="s">
        <v>134</v>
      </c>
      <c r="G32" s="27" t="s">
        <v>209</v>
      </c>
      <c r="H32" s="28">
        <v>180</v>
      </c>
      <c r="I32" s="28">
        <v>30</v>
      </c>
      <c r="J32" s="28">
        <f>H32+I32</f>
        <v>210</v>
      </c>
      <c r="K32" s="10">
        <f>E32*J32</f>
        <v>210</v>
      </c>
    </row>
    <row r="33" spans="1:11" ht="24" customHeight="1" x14ac:dyDescent="0.25">
      <c r="A33" s="25" t="s">
        <v>210</v>
      </c>
      <c r="B33" s="8" t="s">
        <v>211</v>
      </c>
      <c r="C33" s="8" t="s">
        <v>212</v>
      </c>
      <c r="D33" s="8" t="s">
        <v>213</v>
      </c>
      <c r="E33" s="26">
        <v>1</v>
      </c>
      <c r="F33" s="7" t="s">
        <v>134</v>
      </c>
      <c r="G33" s="27" t="s">
        <v>214</v>
      </c>
      <c r="H33" s="28">
        <v>450</v>
      </c>
      <c r="I33" s="28">
        <v>50</v>
      </c>
      <c r="J33" s="28">
        <f>H33+I33</f>
        <v>500</v>
      </c>
      <c r="K33" s="10">
        <f>E33*J33</f>
        <v>500</v>
      </c>
    </row>
    <row r="34" spans="1:11" ht="24" customHeight="1" x14ac:dyDescent="0.25">
      <c r="A34" s="42" t="s">
        <v>215</v>
      </c>
      <c r="B34" s="43"/>
      <c r="C34" s="43"/>
      <c r="D34" s="43"/>
      <c r="E34" s="43"/>
      <c r="F34" s="43"/>
      <c r="G34" s="43"/>
      <c r="H34" s="43"/>
      <c r="I34" s="43"/>
      <c r="J34" s="43"/>
      <c r="K34" s="29">
        <f>SUM(K29:K33)</f>
        <v>4660</v>
      </c>
    </row>
    <row r="35" spans="1:11" ht="26.1" customHeight="1" x14ac:dyDescent="0.25">
      <c r="A35" s="45" t="s">
        <v>216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24" customHeight="1" x14ac:dyDescent="0.25">
      <c r="A36" s="21" t="s">
        <v>217</v>
      </c>
      <c r="B36" s="4" t="s">
        <v>218</v>
      </c>
      <c r="C36" s="4" t="s">
        <v>219</v>
      </c>
      <c r="D36" s="4" t="s">
        <v>220</v>
      </c>
      <c r="E36" s="22">
        <v>1</v>
      </c>
      <c r="F36" s="3" t="s">
        <v>105</v>
      </c>
      <c r="G36" s="16" t="s">
        <v>221</v>
      </c>
      <c r="H36" s="23">
        <v>180</v>
      </c>
      <c r="I36" s="23">
        <v>30</v>
      </c>
      <c r="J36" s="23">
        <f>H36+I36</f>
        <v>210</v>
      </c>
      <c r="K36" s="5">
        <f>E36*J36</f>
        <v>210</v>
      </c>
    </row>
    <row r="37" spans="1:11" ht="24" customHeight="1" x14ac:dyDescent="0.25">
      <c r="A37" s="21" t="s">
        <v>222</v>
      </c>
      <c r="B37" s="4" t="s">
        <v>206</v>
      </c>
      <c r="C37" s="4" t="s">
        <v>223</v>
      </c>
      <c r="D37" s="4" t="s">
        <v>224</v>
      </c>
      <c r="E37" s="22">
        <v>1</v>
      </c>
      <c r="F37" s="3" t="s">
        <v>225</v>
      </c>
      <c r="G37" s="16" t="s">
        <v>226</v>
      </c>
      <c r="H37" s="23">
        <v>150</v>
      </c>
      <c r="I37" s="23">
        <v>30</v>
      </c>
      <c r="J37" s="23">
        <f>H37+I37</f>
        <v>180</v>
      </c>
      <c r="K37" s="5">
        <f>E37*J37</f>
        <v>180</v>
      </c>
    </row>
    <row r="38" spans="1:11" ht="24" customHeight="1" x14ac:dyDescent="0.25">
      <c r="A38" s="21" t="s">
        <v>227</v>
      </c>
      <c r="B38" s="4" t="s">
        <v>228</v>
      </c>
      <c r="C38" s="4" t="s">
        <v>229</v>
      </c>
      <c r="D38" s="4" t="s">
        <v>230</v>
      </c>
      <c r="E38" s="22">
        <v>1</v>
      </c>
      <c r="F38" s="3" t="s">
        <v>134</v>
      </c>
      <c r="G38" s="16" t="s">
        <v>231</v>
      </c>
      <c r="H38" s="23">
        <v>180</v>
      </c>
      <c r="I38" s="23">
        <v>25</v>
      </c>
      <c r="J38" s="23">
        <f>H38+I38</f>
        <v>205</v>
      </c>
      <c r="K38" s="5">
        <f>E38*J38</f>
        <v>205</v>
      </c>
    </row>
    <row r="39" spans="1:11" ht="24" customHeight="1" x14ac:dyDescent="0.25">
      <c r="A39" s="21" t="s">
        <v>232</v>
      </c>
      <c r="B39" s="4" t="s">
        <v>233</v>
      </c>
      <c r="C39" s="4" t="s">
        <v>234</v>
      </c>
      <c r="D39" s="4" t="s">
        <v>235</v>
      </c>
      <c r="E39" s="22">
        <v>1</v>
      </c>
      <c r="F39" s="3" t="s">
        <v>134</v>
      </c>
      <c r="G39" s="16" t="s">
        <v>236</v>
      </c>
      <c r="H39" s="23">
        <v>100</v>
      </c>
      <c r="I39" s="23">
        <v>20</v>
      </c>
      <c r="J39" s="23">
        <f>H39+I39</f>
        <v>120</v>
      </c>
      <c r="K39" s="5">
        <f>E39*J39</f>
        <v>120</v>
      </c>
    </row>
    <row r="40" spans="1:11" ht="24" customHeight="1" x14ac:dyDescent="0.25">
      <c r="A40" s="21" t="s">
        <v>237</v>
      </c>
      <c r="B40" s="4" t="s">
        <v>238</v>
      </c>
      <c r="C40" s="4" t="s">
        <v>239</v>
      </c>
      <c r="D40" s="4" t="s">
        <v>240</v>
      </c>
      <c r="E40" s="22">
        <v>1</v>
      </c>
      <c r="F40" s="3" t="s">
        <v>105</v>
      </c>
      <c r="G40" s="16" t="s">
        <v>241</v>
      </c>
      <c r="H40" s="23">
        <v>120</v>
      </c>
      <c r="I40" s="23">
        <v>20</v>
      </c>
      <c r="J40" s="23">
        <f>H40+I40</f>
        <v>140</v>
      </c>
      <c r="K40" s="5">
        <f>E40*J40</f>
        <v>140</v>
      </c>
    </row>
    <row r="41" spans="1:11" ht="24" customHeight="1" x14ac:dyDescent="0.25">
      <c r="A41" s="39" t="s">
        <v>242</v>
      </c>
      <c r="B41" s="40"/>
      <c r="C41" s="40"/>
      <c r="D41" s="40"/>
      <c r="E41" s="40"/>
      <c r="F41" s="40"/>
      <c r="G41" s="40"/>
      <c r="H41" s="40"/>
      <c r="I41" s="40"/>
      <c r="J41" s="40"/>
      <c r="K41" s="24">
        <f>SUM(K36:K40)</f>
        <v>855</v>
      </c>
    </row>
    <row r="42" spans="1:11" ht="26.1" customHeight="1" x14ac:dyDescent="0.25">
      <c r="A42" s="35" t="s">
        <v>243</v>
      </c>
      <c r="B42" s="36"/>
      <c r="C42" s="36"/>
      <c r="D42" s="36"/>
      <c r="E42" s="36"/>
      <c r="F42" s="36"/>
      <c r="G42" s="36"/>
      <c r="H42" s="36"/>
      <c r="I42" s="36"/>
      <c r="J42" s="36"/>
      <c r="K42" s="14">
        <f>K11+K20+K27+K41</f>
        <v>9195</v>
      </c>
    </row>
  </sheetData>
  <mergeCells count="13">
    <mergeCell ref="A42:J42"/>
    <mergeCell ref="A1:K1"/>
    <mergeCell ref="A41:J41"/>
    <mergeCell ref="A11:J11"/>
    <mergeCell ref="A2:K2"/>
    <mergeCell ref="A34:J34"/>
    <mergeCell ref="A28:K28"/>
    <mergeCell ref="A20:J20"/>
    <mergeCell ref="A5:K5"/>
    <mergeCell ref="A12:K12"/>
    <mergeCell ref="A35:K35"/>
    <mergeCell ref="A21:K21"/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F22" sqref="F22"/>
    </sheetView>
  </sheetViews>
  <sheetFormatPr defaultRowHeight="15" x14ac:dyDescent="0.25"/>
  <cols>
    <col min="1" max="1" width="32.140625" customWidth="1"/>
    <col min="2" max="2" width="38" customWidth="1"/>
    <col min="3" max="3" width="58" customWidth="1"/>
    <col min="4" max="4" width="16" customWidth="1"/>
    <col min="5" max="6" width="20" customWidth="1"/>
    <col min="7" max="7" width="30" customWidth="1"/>
  </cols>
  <sheetData>
    <row r="1" spans="1:7" ht="32.1" customHeight="1" x14ac:dyDescent="0.25">
      <c r="A1" s="37" t="s">
        <v>244</v>
      </c>
      <c r="B1" s="38"/>
      <c r="C1" s="38"/>
      <c r="D1" s="38"/>
      <c r="E1" s="38"/>
      <c r="F1" s="38"/>
      <c r="G1" s="38"/>
    </row>
    <row r="2" spans="1:7" ht="21.95" customHeight="1" x14ac:dyDescent="0.25">
      <c r="A2" s="41" t="s">
        <v>245</v>
      </c>
      <c r="B2" s="38"/>
      <c r="C2" s="38"/>
      <c r="D2" s="38"/>
      <c r="E2" s="38"/>
      <c r="F2" s="38"/>
      <c r="G2" s="38"/>
    </row>
    <row r="4" spans="1:7" ht="24" customHeight="1" x14ac:dyDescent="0.25">
      <c r="A4" s="2" t="s">
        <v>246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251</v>
      </c>
      <c r="G4" s="2" t="s">
        <v>252</v>
      </c>
    </row>
    <row r="5" spans="1:7" ht="63.95" customHeight="1" x14ac:dyDescent="0.25">
      <c r="A5" s="21" t="s">
        <v>253</v>
      </c>
      <c r="B5" s="4" t="s">
        <v>254</v>
      </c>
      <c r="C5" s="16" t="s">
        <v>255</v>
      </c>
      <c r="D5" s="30">
        <v>8</v>
      </c>
      <c r="E5" s="23">
        <v>500</v>
      </c>
      <c r="F5" s="5">
        <f>D5*E5</f>
        <v>4000</v>
      </c>
      <c r="G5" s="4" t="s">
        <v>256</v>
      </c>
    </row>
    <row r="6" spans="1:7" ht="63.95" customHeight="1" x14ac:dyDescent="0.25">
      <c r="A6" s="21" t="s">
        <v>257</v>
      </c>
      <c r="B6" s="4" t="s">
        <v>258</v>
      </c>
      <c r="C6" s="16" t="s">
        <v>259</v>
      </c>
      <c r="D6" s="30">
        <v>8</v>
      </c>
      <c r="E6" s="23">
        <v>500</v>
      </c>
      <c r="F6" s="5">
        <f>D6*E6</f>
        <v>4000</v>
      </c>
      <c r="G6" s="4" t="s">
        <v>260</v>
      </c>
    </row>
    <row r="7" spans="1:7" ht="63.95" customHeight="1" x14ac:dyDescent="0.25">
      <c r="A7" s="21" t="s">
        <v>261</v>
      </c>
      <c r="B7" s="4" t="s">
        <v>262</v>
      </c>
      <c r="C7" s="16" t="s">
        <v>263</v>
      </c>
      <c r="D7" s="30">
        <v>10</v>
      </c>
      <c r="E7" s="23">
        <v>500</v>
      </c>
      <c r="F7" s="5">
        <f>D7*E7</f>
        <v>5000</v>
      </c>
      <c r="G7" s="4" t="s">
        <v>264</v>
      </c>
    </row>
    <row r="8" spans="1:7" ht="63.95" customHeight="1" x14ac:dyDescent="0.25">
      <c r="A8" s="21" t="s">
        <v>265</v>
      </c>
      <c r="B8" s="4" t="s">
        <v>266</v>
      </c>
      <c r="C8" s="16" t="s">
        <v>267</v>
      </c>
      <c r="D8" s="30">
        <v>12</v>
      </c>
      <c r="E8" s="23">
        <v>500</v>
      </c>
      <c r="F8" s="5">
        <f>D8*E8</f>
        <v>6000</v>
      </c>
      <c r="G8" s="4" t="s">
        <v>268</v>
      </c>
    </row>
    <row r="9" spans="1:7" ht="63.95" customHeight="1" x14ac:dyDescent="0.25">
      <c r="A9" s="21" t="s">
        <v>269</v>
      </c>
      <c r="B9" s="4" t="s">
        <v>270</v>
      </c>
      <c r="C9" s="16" t="s">
        <v>271</v>
      </c>
      <c r="D9" s="30">
        <v>8</v>
      </c>
      <c r="E9" s="23">
        <v>500</v>
      </c>
      <c r="F9" s="5">
        <f>D9*E9</f>
        <v>4000</v>
      </c>
      <c r="G9" s="4" t="s">
        <v>272</v>
      </c>
    </row>
    <row r="10" spans="1:7" ht="26.1" customHeight="1" x14ac:dyDescent="0.3">
      <c r="A10" s="35" t="s">
        <v>273</v>
      </c>
      <c r="B10" s="54"/>
      <c r="C10" s="54"/>
      <c r="D10" s="31">
        <f>SUM(D5:D9)</f>
        <v>46</v>
      </c>
      <c r="E10" s="12" t="s">
        <v>274</v>
      </c>
      <c r="F10" s="14">
        <f>SUM(F5:F9)</f>
        <v>23000</v>
      </c>
      <c r="G10" s="12" t="s">
        <v>275</v>
      </c>
    </row>
    <row r="12" spans="1:7" ht="26.1" customHeight="1" x14ac:dyDescent="0.25">
      <c r="A12" s="49" t="s">
        <v>276</v>
      </c>
      <c r="B12" s="38"/>
      <c r="C12" s="38"/>
      <c r="D12" s="38"/>
      <c r="E12" s="38"/>
      <c r="F12" s="38"/>
      <c r="G12" s="38"/>
    </row>
    <row r="13" spans="1:7" ht="24" customHeight="1" x14ac:dyDescent="0.25">
      <c r="A13" s="2" t="s">
        <v>277</v>
      </c>
      <c r="B13" s="2" t="s">
        <v>278</v>
      </c>
      <c r="C13" s="2" t="s">
        <v>250</v>
      </c>
      <c r="D13" s="2" t="s">
        <v>279</v>
      </c>
      <c r="F13" s="2" t="s">
        <v>280</v>
      </c>
      <c r="G13" s="2" t="s">
        <v>281</v>
      </c>
    </row>
    <row r="14" spans="1:7" ht="24" customHeight="1" x14ac:dyDescent="0.25">
      <c r="A14" s="32" t="s">
        <v>282</v>
      </c>
      <c r="B14" s="4" t="s">
        <v>283</v>
      </c>
      <c r="C14" s="23">
        <v>120</v>
      </c>
      <c r="D14" s="5">
        <f>C14*46</f>
        <v>5520</v>
      </c>
      <c r="E14" s="50" t="s">
        <v>284</v>
      </c>
      <c r="F14" s="51"/>
      <c r="G14" s="4" t="s">
        <v>285</v>
      </c>
    </row>
    <row r="15" spans="1:7" ht="24" customHeight="1" x14ac:dyDescent="0.25">
      <c r="A15" s="32" t="s">
        <v>286</v>
      </c>
      <c r="B15" s="4" t="s">
        <v>287</v>
      </c>
      <c r="C15" s="23">
        <v>180</v>
      </c>
      <c r="D15" s="5">
        <f>C15*46</f>
        <v>8280</v>
      </c>
      <c r="E15" s="50" t="s">
        <v>288</v>
      </c>
      <c r="F15" s="51"/>
      <c r="G15" s="4" t="s">
        <v>289</v>
      </c>
    </row>
    <row r="16" spans="1:7" ht="24" customHeight="1" x14ac:dyDescent="0.25">
      <c r="A16" s="32" t="s">
        <v>290</v>
      </c>
      <c r="B16" s="4" t="s">
        <v>291</v>
      </c>
      <c r="C16" s="23">
        <v>250</v>
      </c>
      <c r="D16" s="5">
        <f>C16*46</f>
        <v>11500</v>
      </c>
      <c r="E16" s="50" t="s">
        <v>292</v>
      </c>
      <c r="F16" s="51"/>
      <c r="G16" s="4" t="s">
        <v>293</v>
      </c>
    </row>
    <row r="17" spans="1:7" ht="24" customHeight="1" x14ac:dyDescent="0.25">
      <c r="A17" s="32" t="s">
        <v>294</v>
      </c>
      <c r="B17" s="4" t="s">
        <v>295</v>
      </c>
      <c r="C17" s="23">
        <v>350</v>
      </c>
      <c r="D17" s="5">
        <f>C17*46</f>
        <v>16100</v>
      </c>
      <c r="E17" s="50" t="s">
        <v>296</v>
      </c>
      <c r="F17" s="51"/>
      <c r="G17" s="4" t="s">
        <v>297</v>
      </c>
    </row>
    <row r="18" spans="1:7" ht="24" customHeight="1" x14ac:dyDescent="0.25">
      <c r="A18" s="33" t="s">
        <v>298</v>
      </c>
      <c r="B18" s="18" t="s">
        <v>299</v>
      </c>
      <c r="C18" s="34">
        <v>500</v>
      </c>
      <c r="D18" s="19">
        <f>C18*46</f>
        <v>23000</v>
      </c>
      <c r="E18" s="52" t="s">
        <v>300</v>
      </c>
      <c r="F18" s="53"/>
      <c r="G18" s="18" t="s">
        <v>301</v>
      </c>
    </row>
  </sheetData>
  <mergeCells count="9">
    <mergeCell ref="E17:F17"/>
    <mergeCell ref="E18:F18"/>
    <mergeCell ref="A10:C10"/>
    <mergeCell ref="A1:G1"/>
    <mergeCell ref="E16:F16"/>
    <mergeCell ref="E15:F15"/>
    <mergeCell ref="A12:G12"/>
    <mergeCell ref="A2:G2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Summary &amp; Costing</vt:lpstr>
      <vt:lpstr>Bill of Materials (BoM)</vt:lpstr>
      <vt:lpstr>Labor Breakdown (WBS)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CLARIDEN D. MONTANO</cp:lastModifiedBy>
  <dcterms:created xsi:type="dcterms:W3CDTF">2026-08-16T01:52:44Z</dcterms:created>
  <dcterms:modified xsi:type="dcterms:W3CDTF">2026-08-28T05:40:37Z</dcterms:modified>
</cp:coreProperties>
</file>